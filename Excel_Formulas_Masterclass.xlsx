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2.xml.rels" ContentType="application/vnd.openxmlformats-package.relationships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  <Override PartName="/xl/comments2.xml" ContentType="application/vnd.openxmlformats-officedocument.spreadsheetml.comments+xml"/>
  <Override PartName="/xl/drawings/vmlDrawing1.vml" ContentType="application/vnd.openxmlformats-officedocument.vmlDrawi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ME" sheetId="1" state="visible" r:id="rId3"/>
    <sheet name="Data" sheetId="2" state="visible" r:id="rId4"/>
    <sheet name="Master" sheetId="3" state="visible" r:id="rId5"/>
    <sheet name="01_Lookup" sheetId="4" state="visible" r:id="rId6"/>
    <sheet name="02_Math" sheetId="5" state="visible" r:id="rId7"/>
    <sheet name="03_Logical" sheetId="6" state="visible" r:id="rId8"/>
    <sheet name="04_Text" sheetId="7" state="visible" r:id="rId9"/>
    <sheet name="05_DateTime" sheetId="8" state="visible" r:id="rId10"/>
    <sheet name="06_DataTools" sheetId="9" state="visible" r:id="rId11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2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J1" authorId="0">
      <text>
        <r>
          <rPr>
            <sz val="10"/>
            <rFont val="Arial"/>
            <family val="2"/>
          </rPr>
          <t xml:space="preserve">Live formula: =ROUND(sales_amount*18%,2). Assumed flat 18% GST for teaching purposes.</t>
        </r>
      </text>
    </comment>
  </commentList>
</comments>
</file>

<file path=xl/sharedStrings.xml><?xml version="1.0" encoding="utf-8"?>
<sst xmlns="http://schemas.openxmlformats.org/spreadsheetml/2006/main" count="1416" uniqueCount="625">
  <si>
    <t xml:space="preserve">EXCEL FORMULAS MASTERCLASS  —  Practice Workbook</t>
  </si>
  <si>
    <t xml:space="preserve">APEX AGI SOLUTIONS  ·  Dummy transaction dataset + every formula in the syllabus, live and editable.</t>
  </si>
  <si>
    <t xml:space="preserve">Sheet</t>
  </si>
  <si>
    <t xml:space="preserve">What's in it</t>
  </si>
  <si>
    <t xml:space="preserve">How to use it</t>
  </si>
  <si>
    <t xml:space="preserve">Data</t>
  </si>
  <si>
    <t xml:space="preserve">120 dummy transaction rows (the 14 columns you supplied). gst_amount is a live ROUND() formula.</t>
  </si>
  <si>
    <t xml:space="preserve">This is the source table every formula points at. Change any value and all sheets recalculate.</t>
  </si>
  <si>
    <t xml:space="preserve">Master</t>
  </si>
  <si>
    <t xml:space="preserve">Lookup tables: product master, region master, quarterly targets.</t>
  </si>
  <si>
    <t xml:space="preserve">Feeds VLOOKUP / HLOOKUP / INDEX-MATCH / CHOOSE and the drop-down lists.</t>
  </si>
  <si>
    <t xml:space="preserve">01_Lookup</t>
  </si>
  <si>
    <t xml:space="preserve">VLOOKUP, HLOOKUP, INDEX+MATCH, XLOOKUP, CHOOSE</t>
  </si>
  <si>
    <t xml:space="preserve">Change the yellow input cells at the top and watch every result update.</t>
  </si>
  <si>
    <t xml:space="preserve">02_Math</t>
  </si>
  <si>
    <t xml:space="preserve">SUM family, COUNT family, AVERAGE family, MAX/MIN, ROUND family, SUBTOTAL</t>
  </si>
  <si>
    <t xml:space="preserve">Yellow cells drive the criteria.</t>
  </si>
  <si>
    <t xml:space="preserve">03_Logical</t>
  </si>
  <si>
    <t xml:space="preserve">IF, IFS, AND / OR / NOT, IFERROR, IFNA</t>
  </si>
  <si>
    <t xml:space="preserve">Nested-logic patterns you will actually use in reporting.</t>
  </si>
  <si>
    <t xml:space="preserve">04_Text</t>
  </si>
  <si>
    <t xml:space="preserve">CONCATENATE, TEXTJOIN, LEFT/RIGHT/MID, TRIM, UPPER/LOWER/PROPER, FIND/SEARCH, SUBSTITUTE/REPLACE</t>
  </si>
  <si>
    <t xml:space="preserve">Includes a deliberately messy name/email column to clean.</t>
  </si>
  <si>
    <t xml:space="preserve">05_DateTime</t>
  </si>
  <si>
    <t xml:space="preserve">TODAY, NOW, DATE, DATEDIF, EOMONTH, NETWORKDAYS, WEEKDAY</t>
  </si>
  <si>
    <t xml:space="preserve">Age of transaction, month-end, working days, day names.</t>
  </si>
  <si>
    <t xml:space="preserve">06_DataTools</t>
  </si>
  <si>
    <t xml:space="preserve">Data Validation, Conditional Formatting, Pivot Tables, Text to Columns, Remove Duplicates</t>
  </si>
  <si>
    <t xml:space="preserve">Live drop-downs + step-by-step instructions to do each one yourself.</t>
  </si>
  <si>
    <t xml:space="preserve">LEGEND</t>
  </si>
  <si>
    <t xml:space="preserve">Yellow cells = inputs. Type your own value here.</t>
  </si>
  <si>
    <t xml:space="preserve">Purple monospace = the formula written out, as text, so you can read and copy it.</t>
  </si>
  <si>
    <t xml:space="preserve">Black text = the live formula's result.</t>
  </si>
  <si>
    <t xml:space="preserve">NOTE ON XLOOKUP: it needs Excel 2021 or Microsoft 365. The formula text is given on 01_Lookup, with the INDEX+MATCH equivalent running live beside it so the sheet opens cleanly in every version.</t>
  </si>
  <si>
    <t xml:space="preserve">transaction_id</t>
  </si>
  <si>
    <t xml:space="preserve">customer_id</t>
  </si>
  <si>
    <t xml:space="preserve">transaction_date</t>
  </si>
  <si>
    <t xml:space="preserve">region</t>
  </si>
  <si>
    <t xml:space="preserve">customer_type</t>
  </si>
  <si>
    <t xml:space="preserve">product</t>
  </si>
  <si>
    <t xml:space="preserve">quantity</t>
  </si>
  <si>
    <t xml:space="preserve">sales_amount</t>
  </si>
  <si>
    <t xml:space="preserve">discount</t>
  </si>
  <si>
    <t xml:space="preserve">gst_amount</t>
  </si>
  <si>
    <t xml:space="preserve">payment_method</t>
  </si>
  <si>
    <t xml:space="preserve">order_status</t>
  </si>
  <si>
    <t xml:space="preserve">source</t>
  </si>
  <si>
    <t xml:space="preserve">support_tickets</t>
  </si>
  <si>
    <t xml:space="preserve">gst_amount = 18% of sales_amount, rounded to 2 dp (assumption — dummy data).</t>
  </si>
  <si>
    <t xml:space="preserve">TX000001</t>
  </si>
  <si>
    <t xml:space="preserve">South</t>
  </si>
  <si>
    <t xml:space="preserve">Existing</t>
  </si>
  <si>
    <t xml:space="preserve">Compliance Suite</t>
  </si>
  <si>
    <t xml:space="preserve">Bank Transfer</t>
  </si>
  <si>
    <t xml:space="preserve">Completed</t>
  </si>
  <si>
    <t xml:space="preserve">Offline</t>
  </si>
  <si>
    <t xml:space="preserve">TX000002</t>
  </si>
  <si>
    <t xml:space="preserve">East</t>
  </si>
  <si>
    <t xml:space="preserve">New</t>
  </si>
  <si>
    <t xml:space="preserve">Data Analytics</t>
  </si>
  <si>
    <t xml:space="preserve">TX000003</t>
  </si>
  <si>
    <t xml:space="preserve">West</t>
  </si>
  <si>
    <t xml:space="preserve">UPI</t>
  </si>
  <si>
    <t xml:space="preserve">Referral</t>
  </si>
  <si>
    <t xml:space="preserve">TX000004</t>
  </si>
  <si>
    <t xml:space="preserve">North</t>
  </si>
  <si>
    <t xml:space="preserve">Payroll</t>
  </si>
  <si>
    <t xml:space="preserve">TX000005</t>
  </si>
  <si>
    <t xml:space="preserve">Central</t>
  </si>
  <si>
    <t xml:space="preserve">Pending</t>
  </si>
  <si>
    <t xml:space="preserve">TX000006</t>
  </si>
  <si>
    <t xml:space="preserve">Cancelled</t>
  </si>
  <si>
    <t xml:space="preserve">Online</t>
  </si>
  <si>
    <t xml:space="preserve">TX000007</t>
  </si>
  <si>
    <t xml:space="preserve">Northeast</t>
  </si>
  <si>
    <t xml:space="preserve">TX000008</t>
  </si>
  <si>
    <t xml:space="preserve">Cash</t>
  </si>
  <si>
    <t xml:space="preserve">TX000009</t>
  </si>
  <si>
    <t xml:space="preserve">Refunded</t>
  </si>
  <si>
    <t xml:space="preserve">TX000010</t>
  </si>
  <si>
    <t xml:space="preserve">TX000011</t>
  </si>
  <si>
    <t xml:space="preserve">GST Filing</t>
  </si>
  <si>
    <t xml:space="preserve">TX000012</t>
  </si>
  <si>
    <t xml:space="preserve">Card</t>
  </si>
  <si>
    <t xml:space="preserve">TX000013</t>
  </si>
  <si>
    <t xml:space="preserve">TX000014</t>
  </si>
  <si>
    <t xml:space="preserve">TX000015</t>
  </si>
  <si>
    <t xml:space="preserve">TX000016</t>
  </si>
  <si>
    <t xml:space="preserve">TX000017</t>
  </si>
  <si>
    <t xml:space="preserve">Invoice Pro</t>
  </si>
  <si>
    <t xml:space="preserve">TX000018</t>
  </si>
  <si>
    <t xml:space="preserve">TX000019</t>
  </si>
  <si>
    <t xml:space="preserve">TX000020</t>
  </si>
  <si>
    <t xml:space="preserve">TX000021</t>
  </si>
  <si>
    <t xml:space="preserve">TX000022</t>
  </si>
  <si>
    <t xml:space="preserve">TX000023</t>
  </si>
  <si>
    <t xml:space="preserve">TX000024</t>
  </si>
  <si>
    <t xml:space="preserve">TX000025</t>
  </si>
  <si>
    <t xml:space="preserve">TX000026</t>
  </si>
  <si>
    <t xml:space="preserve">TX000027</t>
  </si>
  <si>
    <t xml:space="preserve">TX000028</t>
  </si>
  <si>
    <t xml:space="preserve">TX000029</t>
  </si>
  <si>
    <t xml:space="preserve">TX000030</t>
  </si>
  <si>
    <t xml:space="preserve">TX000031</t>
  </si>
  <si>
    <t xml:space="preserve">TX000032</t>
  </si>
  <si>
    <t xml:space="preserve">TX000033</t>
  </si>
  <si>
    <t xml:space="preserve">TX000034</t>
  </si>
  <si>
    <t xml:space="preserve">TX000035</t>
  </si>
  <si>
    <t xml:space="preserve">TX000036</t>
  </si>
  <si>
    <t xml:space="preserve">TX000037</t>
  </si>
  <si>
    <t xml:space="preserve">TX000038</t>
  </si>
  <si>
    <t xml:space="preserve">TX000039</t>
  </si>
  <si>
    <t xml:space="preserve">TX000040</t>
  </si>
  <si>
    <t xml:space="preserve">TX000041</t>
  </si>
  <si>
    <t xml:space="preserve">TX000042</t>
  </si>
  <si>
    <t xml:space="preserve">TX000043</t>
  </si>
  <si>
    <t xml:space="preserve">TX000044</t>
  </si>
  <si>
    <t xml:space="preserve">TX000045</t>
  </si>
  <si>
    <t xml:space="preserve">TX000046</t>
  </si>
  <si>
    <t xml:space="preserve">TX000047</t>
  </si>
  <si>
    <t xml:space="preserve">TX000048</t>
  </si>
  <si>
    <t xml:space="preserve">TX000049</t>
  </si>
  <si>
    <t xml:space="preserve">TX000050</t>
  </si>
  <si>
    <t xml:space="preserve">TX000051</t>
  </si>
  <si>
    <t xml:space="preserve">TX000052</t>
  </si>
  <si>
    <t xml:space="preserve">TX000053</t>
  </si>
  <si>
    <t xml:space="preserve">TX000054</t>
  </si>
  <si>
    <t xml:space="preserve">TX000055</t>
  </si>
  <si>
    <t xml:space="preserve">TX000056</t>
  </si>
  <si>
    <t xml:space="preserve">TX000057</t>
  </si>
  <si>
    <t xml:space="preserve">TX000058</t>
  </si>
  <si>
    <t xml:space="preserve">TX000059</t>
  </si>
  <si>
    <t xml:space="preserve">TX000060</t>
  </si>
  <si>
    <t xml:space="preserve">TX000061</t>
  </si>
  <si>
    <t xml:space="preserve">TX000062</t>
  </si>
  <si>
    <t xml:space="preserve">TX000063</t>
  </si>
  <si>
    <t xml:space="preserve">TX000064</t>
  </si>
  <si>
    <t xml:space="preserve">TX000065</t>
  </si>
  <si>
    <t xml:space="preserve">TX000066</t>
  </si>
  <si>
    <t xml:space="preserve">TX000067</t>
  </si>
  <si>
    <t xml:space="preserve">TX000068</t>
  </si>
  <si>
    <t xml:space="preserve">TX000069</t>
  </si>
  <si>
    <t xml:space="preserve">TX000070</t>
  </si>
  <si>
    <t xml:space="preserve">TX000071</t>
  </si>
  <si>
    <t xml:space="preserve">TX000072</t>
  </si>
  <si>
    <t xml:space="preserve">TX000073</t>
  </si>
  <si>
    <t xml:space="preserve">TX000074</t>
  </si>
  <si>
    <t xml:space="preserve">TX000075</t>
  </si>
  <si>
    <t xml:space="preserve">TX000076</t>
  </si>
  <si>
    <t xml:space="preserve">TX000077</t>
  </si>
  <si>
    <t xml:space="preserve">TX000078</t>
  </si>
  <si>
    <t xml:space="preserve">TX000079</t>
  </si>
  <si>
    <t xml:space="preserve">TX000080</t>
  </si>
  <si>
    <t xml:space="preserve">TX000081</t>
  </si>
  <si>
    <t xml:space="preserve">TX000082</t>
  </si>
  <si>
    <t xml:space="preserve">TX000083</t>
  </si>
  <si>
    <t xml:space="preserve">TX000084</t>
  </si>
  <si>
    <t xml:space="preserve">TX000085</t>
  </si>
  <si>
    <t xml:space="preserve">TX000086</t>
  </si>
  <si>
    <t xml:space="preserve">TX000087</t>
  </si>
  <si>
    <t xml:space="preserve">TX000088</t>
  </si>
  <si>
    <t xml:space="preserve">TX000089</t>
  </si>
  <si>
    <t xml:space="preserve">TX000090</t>
  </si>
  <si>
    <t xml:space="preserve">TX000091</t>
  </si>
  <si>
    <t xml:space="preserve">TX000092</t>
  </si>
  <si>
    <t xml:space="preserve">TX000093</t>
  </si>
  <si>
    <t xml:space="preserve">TX000094</t>
  </si>
  <si>
    <t xml:space="preserve">TX000095</t>
  </si>
  <si>
    <t xml:space="preserve">TX000096</t>
  </si>
  <si>
    <t xml:space="preserve">TX000097</t>
  </si>
  <si>
    <t xml:space="preserve">TX000098</t>
  </si>
  <si>
    <t xml:space="preserve">TX000099</t>
  </si>
  <si>
    <t xml:space="preserve">TX000100</t>
  </si>
  <si>
    <t xml:space="preserve">TX000101</t>
  </si>
  <si>
    <t xml:space="preserve">TX000102</t>
  </si>
  <si>
    <t xml:space="preserve">TX000103</t>
  </si>
  <si>
    <t xml:space="preserve">TX000104</t>
  </si>
  <si>
    <t xml:space="preserve">TX000105</t>
  </si>
  <si>
    <t xml:space="preserve">TX000106</t>
  </si>
  <si>
    <t xml:space="preserve">TX000107</t>
  </si>
  <si>
    <t xml:space="preserve">TX000108</t>
  </si>
  <si>
    <t xml:space="preserve">TX000109</t>
  </si>
  <si>
    <t xml:space="preserve">TX000110</t>
  </si>
  <si>
    <t xml:space="preserve">TX000111</t>
  </si>
  <si>
    <t xml:space="preserve">TX000112</t>
  </si>
  <si>
    <t xml:space="preserve">TX000113</t>
  </si>
  <si>
    <t xml:space="preserve">TX000114</t>
  </si>
  <si>
    <t xml:space="preserve">TX000115</t>
  </si>
  <si>
    <t xml:space="preserve">TX000116</t>
  </si>
  <si>
    <t xml:space="preserve">TX000117</t>
  </si>
  <si>
    <t xml:space="preserve">TX000118</t>
  </si>
  <si>
    <t xml:space="preserve">TX000119</t>
  </si>
  <si>
    <t xml:space="preserve">TX000120</t>
  </si>
  <si>
    <t xml:space="preserve">category</t>
  </si>
  <si>
    <t xml:space="preserve">unit_price</t>
  </si>
  <si>
    <t xml:space="preserve">owner</t>
  </si>
  <si>
    <t xml:space="preserve">Billing</t>
  </si>
  <si>
    <t xml:space="preserve">Sana Fatima</t>
  </si>
  <si>
    <t xml:space="preserve">Compliance</t>
  </si>
  <si>
    <t xml:space="preserve">Rahul Menon</t>
  </si>
  <si>
    <t xml:space="preserve">HR Tech</t>
  </si>
  <si>
    <t xml:space="preserve">Imran Qureshi</t>
  </si>
  <si>
    <t xml:space="preserve">Analytics</t>
  </si>
  <si>
    <t xml:space="preserve">Priya Nair</t>
  </si>
  <si>
    <t xml:space="preserve">zone</t>
  </si>
  <si>
    <t xml:space="preserve">manager</t>
  </si>
  <si>
    <t xml:space="preserve">Zone-A</t>
  </si>
  <si>
    <t xml:space="preserve">K. Sharma</t>
  </si>
  <si>
    <t xml:space="preserve">Zone-B</t>
  </si>
  <si>
    <t xml:space="preserve">M. Reddy</t>
  </si>
  <si>
    <t xml:space="preserve">Zone-C</t>
  </si>
  <si>
    <t xml:space="preserve">S. Das</t>
  </si>
  <si>
    <t xml:space="preserve">A. Joshi</t>
  </si>
  <si>
    <t xml:space="preserve">N. Verma</t>
  </si>
  <si>
    <t xml:space="preserve">T. Barua</t>
  </si>
  <si>
    <t xml:space="preserve">QUARTERLY TARGETS  (horizontal table — used by HLOOKUP)</t>
  </si>
  <si>
    <t xml:space="preserve">metric</t>
  </si>
  <si>
    <t xml:space="preserve">Q1</t>
  </si>
  <si>
    <t xml:space="preserve">Q2</t>
  </si>
  <si>
    <t xml:space="preserve">Q3</t>
  </si>
  <si>
    <t xml:space="preserve">Q4</t>
  </si>
  <si>
    <t xml:space="preserve">Target</t>
  </si>
  <si>
    <t xml:space="preserve">Owner</t>
  </si>
  <si>
    <t xml:space="preserve">S. Iyer</t>
  </si>
  <si>
    <t xml:space="preserve">D. Kulkarni</t>
  </si>
  <si>
    <t xml:space="preserve">LOOKUP &amp; REFERENCE</t>
  </si>
  <si>
    <t xml:space="preserve">VLOOKUP · HLOOKUP · INDEX+MATCH · XLOOKUP · CHOOSE</t>
  </si>
  <si>
    <t xml:space="preserve">INPUTS  (edit the yellow cells)</t>
  </si>
  <si>
    <t xml:space="preserve">Transaction ID</t>
  </si>
  <si>
    <t xml:space="preserve">Product</t>
  </si>
  <si>
    <t xml:space="preserve">Quarter</t>
  </si>
  <si>
    <t xml:space="preserve">Region</t>
  </si>
  <si>
    <t xml:space="preserve">#</t>
  </si>
  <si>
    <t xml:space="preserve">Function</t>
  </si>
  <si>
    <t xml:space="preserve">What it does</t>
  </si>
  <si>
    <t xml:space="preserve">Formula (copy this)</t>
  </si>
  <si>
    <t xml:space="preserve">Live result</t>
  </si>
  <si>
    <t xml:space="preserve">Notes</t>
  </si>
  <si>
    <t xml:space="preserve">VLOOKUP</t>
  </si>
  <si>
    <t xml:space="preserve">Unit price of the product in B5, from the product master.</t>
  </si>
  <si>
    <t xml:space="preserve">=VLOOKUP($B$5,Master!$A$2:$D$6,3,FALSE)</t>
  </si>
  <si>
    <t xml:space="preserve">4th argument FALSE = exact match. Always use FALSE.</t>
  </si>
  <si>
    <t xml:space="preserve">Owner of that product (4th column of the same table).</t>
  </si>
  <si>
    <t xml:space="preserve">=VLOOKUP($B$5,Master!$A$2:$D$6,4,FALSE)</t>
  </si>
  <si>
    <t xml:space="preserve">Lookup value must sit in the FIRST column of the table range.</t>
  </si>
  <si>
    <t xml:space="preserve">VLOOKUP + IFERROR</t>
  </si>
  <si>
    <t xml:space="preserve">Safe lookup — returns a friendly message instead of an N/A error.</t>
  </si>
  <si>
    <t xml:space="preserve">=IFERROR(VLOOKUP($B$4,Master!$A$2:$D$6,3,FALSE),"Not in master")</t>
  </si>
  <si>
    <t xml:space="preserve">B4 is a transaction ID, so this deliberately misses.</t>
  </si>
  <si>
    <t xml:space="preserve">HLOOKUP</t>
  </si>
  <si>
    <t xml:space="preserve">Target for the quarter in B6 from the horizontal table.</t>
  </si>
  <si>
    <t xml:space="preserve">=HLOOKUP($B$6,Master!$B$19:$E$21,2,FALSE)</t>
  </si>
  <si>
    <t xml:space="preserve">H = horizontal. Lookup row must be the TOP row of the range.</t>
  </si>
  <si>
    <t xml:space="preserve">Owner for that quarter (3rd row of the same table).</t>
  </si>
  <si>
    <t xml:space="preserve">=HLOOKUP($B$6,Master!$B$19:$E$21,3,FALSE)</t>
  </si>
  <si>
    <t xml:space="preserve">INDEX + MATCH</t>
  </si>
  <si>
    <t xml:space="preserve">Sales amount for the transaction ID in B4.</t>
  </si>
  <si>
    <t xml:space="preserve">=INDEX(Data!$H$2:$H$121,MATCH($B$4,Data!$A$2:$A$121,0))</t>
  </si>
  <si>
    <t xml:space="preserve">MATCH finds the ROW, INDEX returns the value. Works right-to-left, unlike VLOOKUP.</t>
  </si>
  <si>
    <t xml:space="preserve">Product for that same transaction ID.</t>
  </si>
  <si>
    <t xml:space="preserve">=INDEX(Data!$F$2:$F$121,MATCH($B$4,Data!$A$2:$A$121,0))</t>
  </si>
  <si>
    <t xml:space="preserve">INDEX + MATCH (2-way)</t>
  </si>
  <si>
    <t xml:space="preserve">Manager for the region in B7 — row AND column matched.</t>
  </si>
  <si>
    <t xml:space="preserve">=INDEX(Master!$A$10:$C$15,MATCH($B$7,Master!$A$10:$A$15,0),MATCH("manager",Master!$A$9:$C$9,0))</t>
  </si>
  <si>
    <t xml:space="preserve">Two MATCHes = a true two-dimensional lookup.</t>
  </si>
  <si>
    <t xml:space="preserve">XLOOKUP</t>
  </si>
  <si>
    <t xml:space="preserve">Modern replacement for VLOOKUP (Excel 2021 / 365 only).</t>
  </si>
  <si>
    <t xml:space="preserve">=XLOOKUP($B$5,Master!$A$2:$A$6,Master!$C$2:$C$6,"Not found")</t>
  </si>
  <si>
    <t xml:space="preserve">Column E runs the VLOOKUP equivalent so this file opens in any version. XLOOKUP needs no column index and has a built-in if-not-found argument.</t>
  </si>
  <si>
    <t xml:space="preserve">XLOOKUP (reverse)</t>
  </si>
  <si>
    <t xml:space="preserve">Search from the bottom up — impossible with VLOOKUP.</t>
  </si>
  <si>
    <t xml:space="preserve">=XLOOKUP($B$5,Data!$F$2:$F$121,Data!$A$2:$A$121,"None",0,-1)</t>
  </si>
  <si>
    <t xml:space="preserve">Column E shows the classic array workaround. The 6th argument -1 means 'search last to first'.</t>
  </si>
  <si>
    <t xml:space="preserve">CHOOSE</t>
  </si>
  <si>
    <t xml:space="preserve">Pick the Nth item from a hard-coded list.</t>
  </si>
  <si>
    <t xml:space="preserve">=CHOOSE(2,"Bronze","Silver","Gold","Platinum")</t>
  </si>
  <si>
    <t xml:space="preserve">Index 1 = first item. Great for grade / tier labels.</t>
  </si>
  <si>
    <t xml:space="preserve">CHOOSE + MATCH</t>
  </si>
  <si>
    <t xml:space="preserve">Turn the region in B7 into its zone label.</t>
  </si>
  <si>
    <t xml:space="preserve">=CHOOSE(MATCH($B$7,Master!$A$10:$A$15,0),"Zone-A","Zone-B","Zone-C","Zone-B","Zone-A","Zone-C")</t>
  </si>
  <si>
    <t xml:space="preserve">CHOOSE replaces a long nested IF when the options are fixed.</t>
  </si>
  <si>
    <t xml:space="preserve">CHOOSE + WEEKDAY</t>
  </si>
  <si>
    <t xml:space="preserve">Day name for today's date.</t>
  </si>
  <si>
    <t xml:space="preserve">=CHOOSE(WEEKDAY(TODAY(),2),"Monday","Tuesday","Wednesday","Thursday","Friday","Saturday","Sunday")</t>
  </si>
  <si>
    <t xml:space="preserve">MATH &amp; AGGREGATION</t>
  </si>
  <si>
    <t xml:space="preserve">SUM family · COUNT family · AVERAGE family · MAX/MIN · ROUND family · SUBTOTAL</t>
  </si>
  <si>
    <t xml:space="preserve">Min sales</t>
  </si>
  <si>
    <t xml:space="preserve">SUM</t>
  </si>
  <si>
    <t xml:space="preserve">Total of every sales_amount.</t>
  </si>
  <si>
    <t xml:space="preserve">=SUM(Data!$H$2:$H$121)</t>
  </si>
  <si>
    <t xml:space="preserve">SUMIF</t>
  </si>
  <si>
    <t xml:space="preserve">Sales for the region in B4 (one condition).</t>
  </si>
  <si>
    <t xml:space="preserve">=SUMIF(Data!$D$2:$D$121,$B$4,Data!$H$2:$H$121)</t>
  </si>
  <si>
    <t xml:space="preserve">Order: range, criteria, sum_range.</t>
  </si>
  <si>
    <t xml:space="preserve">SUMIFS</t>
  </si>
  <si>
    <t xml:space="preserve">Sales for that region AND that product (two conditions).</t>
  </si>
  <si>
    <t xml:space="preserve">=SUMIFS(Data!$H$2:$H$121,Data!$D$2:$D$121,$B$4,Data!$F$2:$F$121,$B$5)</t>
  </si>
  <si>
    <t xml:space="preserve">Order flips: sum_range comes FIRST in SUMIFS.</t>
  </si>
  <si>
    <t xml:space="preserve">SUMIFS (3 criteria)</t>
  </si>
  <si>
    <t xml:space="preserve">Completed orders, that region, above the B6 threshold.</t>
  </si>
  <si>
    <t xml:space="preserve">=SUMIFS(Data!$H$2:$H$121,Data!$L$2:$L$121,"Completed",Data!$D$2:$D$121,$B$4,Data!$H$2:$H$121,"&gt;"&amp;$B$6)</t>
  </si>
  <si>
    <t xml:space="preserve">Note the "&gt;"&amp;B6 syntax for a cell-driven comparison.</t>
  </si>
  <si>
    <t xml:space="preserve">COUNT</t>
  </si>
  <si>
    <t xml:space="preserve">How many numeric sales values there are.</t>
  </si>
  <si>
    <t xml:space="preserve">=COUNT(Data!$H$2:$H$121)</t>
  </si>
  <si>
    <t xml:space="preserve">COUNT counts NUMBERS only.</t>
  </si>
  <si>
    <t xml:space="preserve">COUNTA</t>
  </si>
  <si>
    <t xml:space="preserve">How many non-empty cells in the product column.</t>
  </si>
  <si>
    <t xml:space="preserve">=COUNTA(Data!$F$2:$F$121)</t>
  </si>
  <si>
    <t xml:space="preserve">COUNTA counts anything that isn't blank.</t>
  </si>
  <si>
    <t xml:space="preserve">COUNTIF</t>
  </si>
  <si>
    <t xml:space="preserve">Number of Refunded orders.</t>
  </si>
  <si>
    <t xml:space="preserve">=COUNTIF(Data!$L$2:$L$121,"Refunded")</t>
  </si>
  <si>
    <t xml:space="preserve">COUNTIFS</t>
  </si>
  <si>
    <t xml:space="preserve">New customers in the region in B4.</t>
  </si>
  <si>
    <t xml:space="preserve">=COUNTIFS(Data!$E$2:$E$121,"New",Data!$D$2:$D$121,$B$4)</t>
  </si>
  <si>
    <t xml:space="preserve">COUNTIFS (range)</t>
  </si>
  <si>
    <t xml:space="preserve">Transactions with sales between 10,000 and 30,000.</t>
  </si>
  <si>
    <t xml:space="preserve">=COUNTIFS(Data!$H$2:$H$121,"&gt;=10000",Data!$H$2:$H$121,"&lt;=30000")</t>
  </si>
  <si>
    <t xml:space="preserve">Same range used twice = a band.</t>
  </si>
  <si>
    <t xml:space="preserve">AVERAGE</t>
  </si>
  <si>
    <t xml:space="preserve">Average ticket size across all rows.</t>
  </si>
  <si>
    <t xml:space="preserve">=AVERAGE(Data!$H$2:$H$121)</t>
  </si>
  <si>
    <t xml:space="preserve">AVERAGEIF</t>
  </si>
  <si>
    <t xml:space="preserve">Average sales for the product in B5.</t>
  </si>
  <si>
    <t xml:space="preserve">=AVERAGEIF(Data!$F$2:$F$121,$B$5,Data!$H$2:$H$121)</t>
  </si>
  <si>
    <t xml:space="preserve">AVERAGEIFS</t>
  </si>
  <si>
    <t xml:space="preserve">Average sales — that product, UPI payments only.</t>
  </si>
  <si>
    <t xml:space="preserve">=AVERAGEIFS(Data!$H$2:$H$121,Data!$F$2:$F$121,$B$5,Data!$K$2:$K$121,"UPI")</t>
  </si>
  <si>
    <t xml:space="preserve">MAX</t>
  </si>
  <si>
    <t xml:space="preserve">Largest single sale.</t>
  </si>
  <si>
    <t xml:space="preserve">=MAX(Data!$H$2:$H$121)</t>
  </si>
  <si>
    <t xml:space="preserve">MIN</t>
  </si>
  <si>
    <t xml:space="preserve">Smallest value (negative = a refund).</t>
  </si>
  <si>
    <t xml:space="preserve">=MIN(Data!$H$2:$H$121)</t>
  </si>
  <si>
    <t xml:space="preserve">MAXIFS</t>
  </si>
  <si>
    <t xml:space="preserve">Largest sale within the region in B4.</t>
  </si>
  <si>
    <t xml:space="preserve">=MAXIFS(Data!$H$2:$H$121,Data!$D$2:$D$121,$B$4)</t>
  </si>
  <si>
    <t xml:space="preserve">Excel 2019+. MINIFS works identically.</t>
  </si>
  <si>
    <t xml:space="preserve">ROUND</t>
  </si>
  <si>
    <t xml:space="preserve">Average ticket rounded to the nearest rupee.</t>
  </si>
  <si>
    <t xml:space="preserve">=ROUND(AVERAGE(Data!$H$2:$H$121),0)</t>
  </si>
  <si>
    <t xml:space="preserve">2nd argument = decimal places. Use -3 to round to thousands.</t>
  </si>
  <si>
    <t xml:space="preserve">ROUNDUP</t>
  </si>
  <si>
    <t xml:space="preserve">Always rounds away from zero.</t>
  </si>
  <si>
    <t xml:space="preserve">=ROUNDUP(2451.11,0)</t>
  </si>
  <si>
    <t xml:space="preserve">ROUNDDOWN</t>
  </si>
  <si>
    <t xml:space="preserve">Always rounds toward zero.</t>
  </si>
  <si>
    <t xml:space="preserve">=ROUNDDOWN(2451.99,0)</t>
  </si>
  <si>
    <t xml:space="preserve">SUBTOTAL (sum)</t>
  </si>
  <si>
    <t xml:space="preserve">Sum that IGNORES rows hidden by a filter.</t>
  </si>
  <si>
    <t xml:space="preserve">=SUBTOTAL(109,Data!$H$2:$H$121)</t>
  </si>
  <si>
    <t xml:space="preserve">109 = SUM ignoring hidden rows. 9 = SUM ignoring filtered rows only.</t>
  </si>
  <si>
    <t xml:space="preserve">SUBTOTAL (count)</t>
  </si>
  <si>
    <t xml:space="preserve">Visible-row count — the number in the status bar.</t>
  </si>
  <si>
    <t xml:space="preserve">=SUBTOTAL(103,Data!$A$2:$A$121)</t>
  </si>
  <si>
    <t xml:space="preserve">103 = COUNTA. 101 = AVERAGE, 104 = MAX, 105 = MIN.</t>
  </si>
  <si>
    <t xml:space="preserve">SUMPRODUCT</t>
  </si>
  <si>
    <t xml:space="preserve">Net revenue after discount, in one formula.</t>
  </si>
  <si>
    <t xml:space="preserve">=SUMPRODUCT(Data!$H$2:$H$121,1-Data!$I$2:$I$121)</t>
  </si>
  <si>
    <t xml:space="preserve">Multiplies two columns row-by-row, then sums. No helper column needed.</t>
  </si>
  <si>
    <t xml:space="preserve">LOGICAL</t>
  </si>
  <si>
    <t xml:space="preserve">IF · IFS · AND / OR / NOT · IFERROR / IFNA</t>
  </si>
  <si>
    <t xml:space="preserve">Row to test (2-121)</t>
  </si>
  <si>
    <t xml:space="preserve">High-value cut-off</t>
  </si>
  <si>
    <t xml:space="preserve">IF</t>
  </si>
  <si>
    <t xml:space="preserve">Flag the tested row as High or Standard value.</t>
  </si>
  <si>
    <t xml:space="preserve">=IF(INDEX(Data!$H$2:$H$121,$B$4-1)&gt;$B$5,"High value","Standard")</t>
  </si>
  <si>
    <t xml:space="preserve">IF(test, value_if_true, value_if_false).</t>
  </si>
  <si>
    <t xml:space="preserve">IF (nested)</t>
  </si>
  <si>
    <t xml:space="preserve">Three-way bucket using IF inside IF.</t>
  </si>
  <si>
    <t xml:space="preserve">=IF(INDEX(Data!$H$2:$H$121,$B$4-1)&lt;0,"Refund",IF(INDEX(Data!$H$2:$H$121,$B$4-1)&gt;$B$5,"High","Normal"))</t>
  </si>
  <si>
    <t xml:space="preserve">Readable up to about 3 levels. Beyond that, use IFS.</t>
  </si>
  <si>
    <t xml:space="preserve">IFS</t>
  </si>
  <si>
    <t xml:space="preserve">Same result, flat and readable.</t>
  </si>
  <si>
    <t xml:space="preserve">=IFS(INDEX(Data!$H$2:$H$121,$B$4-1)&lt;0,"Refund",INDEX(Data!$H$2:$H$121,$B$4-1)&gt;$B$5,"High",TRUE,"Normal")</t>
  </si>
  <si>
    <t xml:space="preserve">Excel 2019+. End with TRUE,&lt;default&gt; to catch everything else.</t>
  </si>
  <si>
    <t xml:space="preserve">AND</t>
  </si>
  <si>
    <t xml:space="preserve">TRUE only when every condition holds.</t>
  </si>
  <si>
    <t xml:space="preserve">=AND(INDEX(Data!$L$2:$L$121,$B$4-1)="Completed",INDEX(Data!$H$2:$H$121,$B$4-1)&gt;$B$5)</t>
  </si>
  <si>
    <t xml:space="preserve">Returns TRUE / FALSE — usually wrapped inside an IF.</t>
  </si>
  <si>
    <t xml:space="preserve">OR</t>
  </si>
  <si>
    <t xml:space="preserve">TRUE when at least one condition holds.</t>
  </si>
  <si>
    <t xml:space="preserve">=OR(INDEX(Data!$E$2:$E$121,$B$4-1)="New",INDEX(Data!$M$2:$M$121,$B$4-1)="Referral")</t>
  </si>
  <si>
    <t xml:space="preserve">NOT</t>
  </si>
  <si>
    <t xml:space="preserve">Reverses TRUE and FALSE.</t>
  </si>
  <si>
    <t xml:space="preserve">=NOT(INDEX(Data!$L$2:$L$121,$B$4-1)="Completed")</t>
  </si>
  <si>
    <t xml:space="preserve">IF + AND</t>
  </si>
  <si>
    <t xml:space="preserve">The real-world pattern: escalate a support case.</t>
  </si>
  <si>
    <t xml:space="preserve">=IF(AND(INDEX(Data!$N$2:$N$121,$B$4-1)&gt;=3,INDEX(Data!$H$2:$H$121,$B$4-1)&gt;$B$5),"Escalate to CS head","Routine")</t>
  </si>
  <si>
    <t xml:space="preserve">IF + OR</t>
  </si>
  <si>
    <t xml:space="preserve">Mark rows that need a finance review.</t>
  </si>
  <si>
    <t xml:space="preserve">=IF(OR(INDEX(Data!$L$2:$L$121,$B$4-1)="Refunded",INDEX(Data!$L$2:$L$121,$B$4-1)="Cancelled"),"Finance review","OK")</t>
  </si>
  <si>
    <t xml:space="preserve">IFERROR</t>
  </si>
  <si>
    <t xml:space="preserve">Catches ANY error — divide-by-zero, N/A, VALUE, all of them.</t>
  </si>
  <si>
    <t xml:space="preserve">=IFERROR(100/0,"Cannot divide by zero")</t>
  </si>
  <si>
    <t xml:space="preserve">The everyday safety net. Wrap it around any division or lookup.</t>
  </si>
  <si>
    <t xml:space="preserve">IFERROR + division</t>
  </si>
  <si>
    <t xml:space="preserve">Discount as a % of sales, guarded.</t>
  </si>
  <si>
    <t xml:space="preserve">=IFERROR(INDEX(Data!$I$2:$I$121,$B$4-1)*INDEX(Data!$H$2:$H$121,$B$4-1)/INDEX(Data!$H$2:$H$121,$B$4-1),0)</t>
  </si>
  <si>
    <t xml:space="preserve">IFNA</t>
  </si>
  <si>
    <t xml:space="preserve">Catches ONLY the N/A error — other errors still surface.</t>
  </si>
  <si>
    <t xml:space="preserve">=IFNA(VLOOKUP("Zebra Plan",Master!$A$2:$D$6,3,FALSE),"Product not in master")</t>
  </si>
  <si>
    <t xml:space="preserve">Safer than IFERROR for lookups: a typo in your formula still shows up as an error instead of being silently hidden.</t>
  </si>
  <si>
    <t xml:space="preserve">IF + COUNTIF</t>
  </si>
  <si>
    <t xml:space="preserve">Duplicate check on transaction_id.</t>
  </si>
  <si>
    <t xml:space="preserve">=IF(COUNTIF(Data!$A$2:$A$121,INDEX(Data!$A$2:$A$121,$B$4-1))&gt;1,"Duplicate","Unique")</t>
  </si>
  <si>
    <t xml:space="preserve">TEXT</t>
  </si>
  <si>
    <t xml:space="preserve">CONCATENATE · TEXTJOIN · LEFT / RIGHT / MID · TRIM · UPPER / LOWER / PROPER · FIND / SEARCH · SUBSTITUTE / REPLACE</t>
  </si>
  <si>
    <t xml:space="preserve">Messy name</t>
  </si>
  <si>
    <t xml:space="preserve">   abdul  AZEEZ   </t>
  </si>
  <si>
    <t xml:space="preserve">Email</t>
  </si>
  <si>
    <t xml:space="preserve">rahul.menon@apexagi.co.in</t>
  </si>
  <si>
    <t xml:space="preserve">Coded ref</t>
  </si>
  <si>
    <t xml:space="preserve">TX000045-South-GST Filing</t>
  </si>
  <si>
    <t xml:space="preserve">CONCATENATE</t>
  </si>
  <si>
    <t xml:space="preserve">Glue text together the old way.</t>
  </si>
  <si>
    <t xml:space="preserve">=CONCATENATE("Txn ",Data!A2," | ",Data!F2)</t>
  </si>
  <si>
    <t xml:space="preserve">The &amp; operator does the same: ="Txn "&amp;Data!A2.</t>
  </si>
  <si>
    <t xml:space="preserve">TEXTJOIN</t>
  </si>
  <si>
    <t xml:space="preserve">Join with a delimiter, skipping blanks — far better.</t>
  </si>
  <si>
    <t xml:space="preserve">=TEXTJOIN(" | ",TRUE,Data!A2,Data!D2,Data!F2,Data!K2)</t>
  </si>
  <si>
    <t xml:space="preserve">2nd argument TRUE = ignore empty cells. Excel 2019+.</t>
  </si>
  <si>
    <t xml:space="preserve">LEFT</t>
  </si>
  <si>
    <t xml:space="preserve">First 2 characters of a transaction ID.</t>
  </si>
  <si>
    <t xml:space="preserve">=LEFT(Data!A2,2)</t>
  </si>
  <si>
    <t xml:space="preserve">RIGHT</t>
  </si>
  <si>
    <t xml:space="preserve">Last 4 characters — the sequence number.</t>
  </si>
  <si>
    <t xml:space="preserve">=RIGHT(Data!A2,4)</t>
  </si>
  <si>
    <t xml:space="preserve">MID</t>
  </si>
  <si>
    <t xml:space="preserve">Characters 3 to 8 (start position, length).</t>
  </si>
  <si>
    <t xml:space="preserve">=MID(Data!A2,3,6)</t>
  </si>
  <si>
    <t xml:space="preserve">TRIM</t>
  </si>
  <si>
    <t xml:space="preserve">Strips leading, trailing and doubled-up spaces.</t>
  </si>
  <si>
    <t xml:space="preserve">=TRIM($B$4)</t>
  </si>
  <si>
    <t xml:space="preserve">Run this before any lookup — trailing spaces are the number one cause of failed matches.</t>
  </si>
  <si>
    <t xml:space="preserve">UPPER</t>
  </si>
  <si>
    <t xml:space="preserve">Everything to capitals.</t>
  </si>
  <si>
    <t xml:space="preserve">=UPPER($B$4)</t>
  </si>
  <si>
    <t xml:space="preserve">LOWER</t>
  </si>
  <si>
    <t xml:space="preserve">Everything to lower case.</t>
  </si>
  <si>
    <t xml:space="preserve">=LOWER($B$5)</t>
  </si>
  <si>
    <t xml:space="preserve">PROPER</t>
  </si>
  <si>
    <t xml:space="preserve">Title Case — the standard name cleaner.</t>
  </si>
  <si>
    <t xml:space="preserve">=PROPER(TRIM($B$4))</t>
  </si>
  <si>
    <t xml:space="preserve">TRIM + PROPER together is the workhorse combination.</t>
  </si>
  <si>
    <t xml:space="preserve">FIND</t>
  </si>
  <si>
    <t xml:space="preserve">Position of the @ sign. Case-SENSITIVE.</t>
  </si>
  <si>
    <t xml:space="preserve">=FIND("@",$B$5)</t>
  </si>
  <si>
    <t xml:space="preserve">Errors if the text isn't found — wrap in IFERROR.</t>
  </si>
  <si>
    <t xml:space="preserve">SEARCH</t>
  </si>
  <si>
    <t xml:space="preserve">Same idea but case-INsensitive, and accepts wildcards.</t>
  </si>
  <si>
    <t xml:space="preserve">=SEARCH("MENON",$B$5)</t>
  </si>
  <si>
    <t xml:space="preserve">FIND would fail here because of the capitals.</t>
  </si>
  <si>
    <t xml:space="preserve">LEFT + FIND</t>
  </si>
  <si>
    <t xml:space="preserve">Pull the username out of an email address.</t>
  </si>
  <si>
    <t xml:space="preserve">=LEFT($B$5,FIND("@",$B$5)-1)</t>
  </si>
  <si>
    <t xml:space="preserve">The classic split-on-a-character pattern.</t>
  </si>
  <si>
    <t xml:space="preserve">MID + FIND</t>
  </si>
  <si>
    <t xml:space="preserve">Pull the domain out of the same address.</t>
  </si>
  <si>
    <t xml:space="preserve">=MID($B$5,FIND("@",$B$5)+1,LEN($B$5)-FIND("@",$B$5))</t>
  </si>
  <si>
    <t xml:space="preserve">SUBSTITUTE</t>
  </si>
  <si>
    <t xml:space="preserve">Replace text by VALUE — every hyphen becomes a slash.</t>
  </si>
  <si>
    <t xml:space="preserve">=SUBSTITUTE($B$6,"-"," / ")</t>
  </si>
  <si>
    <t xml:space="preserve">SUBSTITUTE (nth)</t>
  </si>
  <si>
    <t xml:space="preserve">Replace only the 2nd occurrence.</t>
  </si>
  <si>
    <t xml:space="preserve">=SUBSTITUTE($B$6,"-"," &gt;&gt; ",2)</t>
  </si>
  <si>
    <t xml:space="preserve">The optional 4th argument picks which occurrence.</t>
  </si>
  <si>
    <t xml:space="preserve">REPLACE</t>
  </si>
  <si>
    <t xml:space="preserve">Replace text by POSITION — swap characters 1-8.</t>
  </si>
  <si>
    <t xml:space="preserve">=REPLACE($B$6,1,8,"TX-NEW01")</t>
  </si>
  <si>
    <t xml:space="preserve">SUBSTITUTE knows what to change; REPLACE knows where.</t>
  </si>
  <si>
    <t xml:space="preserve">LEN + SUBSTITUTE</t>
  </si>
  <si>
    <t xml:space="preserve">Count how many hyphens the string has.</t>
  </si>
  <si>
    <t xml:space="preserve">=LEN($B$6)-LEN(SUBSTITUTE($B$6,"-",""))</t>
  </si>
  <si>
    <t xml:space="preserve">A neat trick: length before minus length after.</t>
  </si>
  <si>
    <t xml:space="preserve">MID + FIND (middle)</t>
  </si>
  <si>
    <t xml:space="preserve">Extract the region from the coded reference.</t>
  </si>
  <si>
    <t xml:space="preserve">=MID($B$6,FIND("-",$B$6)+1,FIND("-",$B$6,FIND("-",$B$6)+1)-FIND("-",$B$6)-1)</t>
  </si>
  <si>
    <t xml:space="preserve">Nested FIND locates the second hyphen. Text to Columns does this without formulas.</t>
  </si>
  <si>
    <t xml:space="preserve">DATE &amp; TIME</t>
  </si>
  <si>
    <t xml:space="preserve">TODAY · NOW · DATE · DATEDIF · EOMONTH · NETWORKDAYS · WEEKDAY</t>
  </si>
  <si>
    <t xml:space="preserve">Project start</t>
  </si>
  <si>
    <t xml:space="preserve">Project end</t>
  </si>
  <si>
    <t xml:space="preserve">TODAY</t>
  </si>
  <si>
    <t xml:space="preserve">Current date. Updates every time the file opens.</t>
  </si>
  <si>
    <t xml:space="preserve">=TODAY()</t>
  </si>
  <si>
    <t xml:space="preserve">Volatile — recalculates constantly.</t>
  </si>
  <si>
    <t xml:space="preserve">NOW</t>
  </si>
  <si>
    <t xml:space="preserve">Current date AND time.</t>
  </si>
  <si>
    <t xml:space="preserve">=NOW()</t>
  </si>
  <si>
    <t xml:space="preserve">Use for timestamps on live dashboards.</t>
  </si>
  <si>
    <t xml:space="preserve">DATE</t>
  </si>
  <si>
    <t xml:space="preserve">Build a date from year, month, day numbers.</t>
  </si>
  <si>
    <t xml:space="preserve">=DATE(2026,4,1)</t>
  </si>
  <si>
    <t xml:space="preserve">Never type dates as text — always build or enter them properly.</t>
  </si>
  <si>
    <t xml:space="preserve">DATE (rollover)</t>
  </si>
  <si>
    <t xml:space="preserve">Month 13 rolls into the next year automatically.</t>
  </si>
  <si>
    <t xml:space="preserve">=DATE(2025,13,1)</t>
  </si>
  <si>
    <t xml:space="preserve">DATEDIF (days)</t>
  </si>
  <si>
    <t xml:space="preserve">Age of the tested transaction, in days.</t>
  </si>
  <si>
    <t xml:space="preserve">=DATEDIF(INDEX(Data!$C$2:$C$121,$B$4-1),TODAY(),"d")</t>
  </si>
  <si>
    <t xml:space="preserve">Hidden function — Excel gives no tooltip. Units: "d", "m", "y".</t>
  </si>
  <si>
    <t xml:space="preserve">DATEDIF (months)</t>
  </si>
  <si>
    <t xml:space="preserve">Same gap expressed in whole months.</t>
  </si>
  <si>
    <t xml:space="preserve">=DATEDIF(INDEX(Data!$C$2:$C$121,$B$4-1),TODAY(),"m")</t>
  </si>
  <si>
    <t xml:space="preserve">DATEDIF (y/m/d)</t>
  </si>
  <si>
    <t xml:space="preserve">Full tenure sentence — the HR favourite.</t>
  </si>
  <si>
    <t xml:space="preserve">=DATEDIF($B$5,$B$6,"y")&amp;" yr "&amp;DATEDIF($B$5,$B$6,"ym")&amp;" mth "&amp;DATEDIF($B$5,$B$6,"md")&amp;" days"</t>
  </si>
  <si>
    <t xml:space="preserve">"ym" = leftover months, "md" = leftover days.</t>
  </si>
  <si>
    <t xml:space="preserve">Simple subtraction</t>
  </si>
  <si>
    <t xml:space="preserve">Dates are just numbers — subtract them.</t>
  </si>
  <si>
    <t xml:space="preserve">=$B$6-$B$5</t>
  </si>
  <si>
    <t xml:space="preserve">Result is a count of calendar days.</t>
  </si>
  <si>
    <t xml:space="preserve">EOMONTH</t>
  </si>
  <si>
    <t xml:space="preserve">Last day of the transaction's own month.</t>
  </si>
  <si>
    <t xml:space="preserve">=EOMONTH(INDEX(Data!$C$2:$C$121,$B$4-1),0)</t>
  </si>
  <si>
    <t xml:space="preserve">2nd argument = months to shift.</t>
  </si>
  <si>
    <t xml:space="preserve">EOMONTH (next)</t>
  </si>
  <si>
    <t xml:space="preserve">Month-end one month later — invoice due date.</t>
  </si>
  <si>
    <t xml:space="preserve">=EOMONTH(INDEX(Data!$C$2:$C$121,$B$4-1),1)</t>
  </si>
  <si>
    <t xml:space="preserve">EOMONTH (start)</t>
  </si>
  <si>
    <t xml:space="preserve">First day of the month: month-end of the previous month, plus 1.</t>
  </si>
  <si>
    <t xml:space="preserve">=EOMONTH(INDEX(Data!$C$2:$C$121,$B$4-1),-1)+1</t>
  </si>
  <si>
    <t xml:space="preserve">The standard month-start idiom.</t>
  </si>
  <si>
    <t xml:space="preserve">NETWORKDAYS</t>
  </si>
  <si>
    <t xml:space="preserve">Working days in the project window (weekends excluded).</t>
  </si>
  <si>
    <t xml:space="preserve">=NETWORKDAYS($B$5,$B$6)</t>
  </si>
  <si>
    <t xml:space="preserve">Add a 3rd argument — a range of holiday dates — to exclude those too.</t>
  </si>
  <si>
    <t xml:space="preserve">NETWORKDAYS (SLA)</t>
  </si>
  <si>
    <t xml:space="preserve">Working days elapsed since the transaction.</t>
  </si>
  <si>
    <t xml:space="preserve">=NETWORKDAYS(INDEX(Data!$C$2:$C$121,$B$4-1),TODAY())</t>
  </si>
  <si>
    <t xml:space="preserve">The standard way to measure an SLA.</t>
  </si>
  <si>
    <t xml:space="preserve">WEEKDAY</t>
  </si>
  <si>
    <t xml:space="preserve">Day number, Monday = 1.</t>
  </si>
  <si>
    <t xml:space="preserve">=WEEKDAY(INDEX(Data!$C$2:$C$121,$B$4-1),2)</t>
  </si>
  <si>
    <t xml:space="preserve">2nd argument 2 = Mon-Sun. Default 1 = Sun-Sat.</t>
  </si>
  <si>
    <t xml:space="preserve">WEEKDAY + IF</t>
  </si>
  <si>
    <t xml:space="preserve">Was it booked on a weekend?</t>
  </si>
  <si>
    <t xml:space="preserve">=IF(WEEKDAY(INDEX(Data!$C$2:$C$121,$B$4-1),2)&gt;5,"Weekend","Weekday")</t>
  </si>
  <si>
    <t xml:space="preserve">TEXT + date</t>
  </si>
  <si>
    <t xml:space="preserve">Format a date as readable text.</t>
  </si>
  <si>
    <t xml:space="preserve">=TEXT(INDEX(Data!$C$2:$C$121,$B$4-1),"DD-MMM-YYYY")</t>
  </si>
  <si>
    <t xml:space="preserve">"MMMM" = full month name, "DDDD" = full day name.</t>
  </si>
  <si>
    <t xml:space="preserve">YEAR / MONTH</t>
  </si>
  <si>
    <t xml:space="preserve">Pull the parts out — essential for pivot grouping.</t>
  </si>
  <si>
    <t xml:space="preserve">=TEXT(INDEX(Data!$C$2:$C$121,$B$4-1),"MMM")&amp;"-"&amp;YEAR(INDEX(Data!$C$2:$C$121,$B$4-1))</t>
  </si>
  <si>
    <t xml:space="preserve">SUMIFS on dates</t>
  </si>
  <si>
    <t xml:space="preserve">FY 2025-26 sales (1 Apr 2025 to 31 Mar 2026).</t>
  </si>
  <si>
    <t xml:space="preserve">=SUMIFS(Data!$H$2:$H$121,Data!$C$2:$C$121,"&gt;="&amp;DATE(2025,4,1),Data!$C$2:$C$121,"&lt;="&amp;DATE(2026,3,31))</t>
  </si>
  <si>
    <t xml:space="preserve">Use DATE() inside the criteria — never a typed date string.</t>
  </si>
  <si>
    <t xml:space="preserve">DATA TOOLS</t>
  </si>
  <si>
    <t xml:space="preserve">Data Validation · Conditional Formatting · Pivot Tables · Text to Columns · Remove Duplicates</t>
  </si>
  <si>
    <t xml:space="preserve">1 · DATA VALIDATION  (drop-downs)</t>
  </si>
  <si>
    <t xml:space="preserve">Already live on this sheet AND on the Data sheet (columns D, F and L). Click a yellow cell below for the arrow.</t>
  </si>
  <si>
    <t xml:space="preserve">Pick a region</t>
  </si>
  <si>
    <t xml:space="preserve">List source: Master!A10:A15</t>
  </si>
  <si>
    <t xml:space="preserve">Pick a product</t>
  </si>
  <si>
    <t xml:space="preserve">List source: Master!A2:A6</t>
  </si>
  <si>
    <t xml:space="preserve">Quantity (1-100 only)</t>
  </si>
  <si>
    <t xml:space="preserve">Try typing 500 — Excel will reject it.</t>
  </si>
  <si>
    <t xml:space="preserve">Step 1</t>
  </si>
  <si>
    <t xml:space="preserve">Select the cells that need the drop-down.</t>
  </si>
  <si>
    <t xml:space="preserve">Step 2</t>
  </si>
  <si>
    <t xml:space="preserve">Data tab &gt; Data Validation &gt; Settings &gt; Allow: List.</t>
  </si>
  <si>
    <t xml:space="preserve">Step 3</t>
  </si>
  <si>
    <t xml:space="preserve">In Source, either type values separated by commas, or select a range such as Master!A2:A6.</t>
  </si>
  <si>
    <t xml:space="preserve">Step 4</t>
  </si>
  <si>
    <t xml:space="preserve">Use the Input Message tab for a helper tooltip and Error Alert to block bad entries.</t>
  </si>
  <si>
    <t xml:space="preserve">Step 5</t>
  </si>
  <si>
    <t xml:space="preserve">Tip: turn the source range into a Table (Ctrl+T) so the list grows automatically.</t>
  </si>
  <si>
    <t xml:space="preserve">2 · CONDITIONAL FORMATTING</t>
  </si>
  <si>
    <t xml:space="preserve">Three rules are already running on the Data sheet — go look at columns H, L and N.</t>
  </si>
  <si>
    <t xml:space="preserve">Column H</t>
  </si>
  <si>
    <t xml:space="preserve">Red-Yellow-Green colour scale across every sales_amount.</t>
  </si>
  <si>
    <t xml:space="preserve">Column L</t>
  </si>
  <si>
    <t xml:space="preserve">Any cell equal to "Refunded" turns red.</t>
  </si>
  <si>
    <t xml:space="preserve">Column N</t>
  </si>
  <si>
    <t xml:space="preserve">Blue data bars showing support_tickets 0-5.</t>
  </si>
  <si>
    <t xml:space="preserve">Select the range. Home tab &gt; Conditional Formatting.</t>
  </si>
  <si>
    <t xml:space="preserve">Highlight Cells Rules for simple comparisons; Colour Scales / Data Bars / Icon Sets for visual ranking.</t>
  </si>
  <si>
    <t xml:space="preserve">To highlight a WHOLE ROW, choose "Use a formula" and write =$L2="Refunded" — lock the column with $, leave the row unlocked.</t>
  </si>
  <si>
    <t xml:space="preserve">Manage Rules lets you edit, reorder and control Stop If True.</t>
  </si>
  <si>
    <t xml:space="preserve">Keep it to 2-3 rules per sheet. More than that and nothing stands out.</t>
  </si>
  <si>
    <t xml:space="preserve">3 · PIVOT TABLES</t>
  </si>
  <si>
    <t xml:space="preserve">The Data sheet is already pivot-ready: one header row, no blanks, no merged cells.</t>
  </si>
  <si>
    <t xml:space="preserve">Rows</t>
  </si>
  <si>
    <t xml:space="preserve">region, then product</t>
  </si>
  <si>
    <t xml:space="preserve">Columns</t>
  </si>
  <si>
    <t xml:space="preserve">Values</t>
  </si>
  <si>
    <t xml:space="preserve">sales_amount as Sum; transaction_id as Count</t>
  </si>
  <si>
    <t xml:space="preserve">Filters</t>
  </si>
  <si>
    <t xml:space="preserve">customer_type or source</t>
  </si>
  <si>
    <t xml:space="preserve">Try</t>
  </si>
  <si>
    <t xml:space="preserve">Right-click any date &gt; Group &gt; Months + Years for an instant trend view.</t>
  </si>
  <si>
    <t xml:space="preserve">Click any cell inside the Data table.</t>
  </si>
  <si>
    <t xml:space="preserve">Insert tab &gt; PivotTable &gt; New Worksheet &gt; OK.</t>
  </si>
  <si>
    <t xml:space="preserve">Drag fields into the Rows / Columns / Values / Filters boxes.</t>
  </si>
  <si>
    <t xml:space="preserve">Change Sum to Average or Count via Value Field Settings; use "Show Values As &gt; % of Grand Total" for share analysis.</t>
  </si>
  <si>
    <t xml:space="preserve">Refresh after editing the source: PivotTable Analyze &gt; Refresh (Alt+F5).</t>
  </si>
  <si>
    <t xml:space="preserve">Step 6</t>
  </si>
  <si>
    <t xml:space="preserve">Insert &gt; Slicer gives you clickable filter buttons; Insert &gt; PivotChart turns it into a chart.</t>
  </si>
  <si>
    <t xml:space="preserve">4 · TEXT TO COLUMNS</t>
  </si>
  <si>
    <t xml:space="preserve">Sample delimited strings below. Copy them into a blank sheet and split them.</t>
  </si>
  <si>
    <t xml:space="preserve">Sample (delimiter = |)</t>
  </si>
  <si>
    <t xml:space="preserve">Result after splitting</t>
  </si>
  <si>
    <t xml:space="preserve">TX000045|South|GST Filing|UPI</t>
  </si>
  <si>
    <t xml:space="preserve">4 columns: id, region, product, payment</t>
  </si>
  <si>
    <t xml:space="preserve">TX000046|North|Payroll|Card</t>
  </si>
  <si>
    <t xml:space="preserve">same structure</t>
  </si>
  <si>
    <t xml:space="preserve">TX000047|West|Data Analytics|Cash</t>
  </si>
  <si>
    <t xml:space="preserve">Select the single column of joined text. Leave empty columns to its right.</t>
  </si>
  <si>
    <t xml:space="preserve">Data tab &gt; Text to Columns &gt; Delimited &gt; Next.</t>
  </si>
  <si>
    <t xml:space="preserve">Tick the delimiter (| here; also try Comma, Tab, Space, or Other).</t>
  </si>
  <si>
    <t xml:space="preserve">Set each column's data format — choose Text for IDs with leading zeros, and Date + DMY for Indian-format dates.</t>
  </si>
  <si>
    <t xml:space="preserve">Finish. This overwrites the original column, so copy it first if you need the raw value.</t>
  </si>
  <si>
    <t xml:space="preserve">5 · REMOVE DUPLICATES</t>
  </si>
  <si>
    <t xml:space="preserve">Sample list with deliberate repeats. Note: this deletes rows permanently — always work on a copy.</t>
  </si>
  <si>
    <t xml:space="preserve">duplicate flag (live formula)</t>
  </si>
  <si>
    <t xml:space="preserve">Always copy the data to a new sheet first — the tool deletes rows for good.</t>
  </si>
  <si>
    <t xml:space="preserve">Select the range. Data tab &gt; Remove Duplicates.</t>
  </si>
  <si>
    <t xml:space="preserve">Tick the columns that define a duplicate. All columns ticked = only fully identical rows go.</t>
  </si>
  <si>
    <t xml:space="preserve">Excel reports how many were removed and how many remain.</t>
  </si>
  <si>
    <t xml:space="preserve">To FIND duplicates without deleting: Conditional Formatting &gt; Highlight Cells Rules &gt; Duplicate Values, or use the COUNTIF formula shown in column C above.</t>
  </si>
  <si>
    <t xml:space="preserve">TRIM the text first — "South" and "South " are not duplicates to Excel.</t>
  </si>
</sst>
</file>

<file path=xl/styles.xml><?xml version="1.0" encoding="utf-8"?>
<styleSheet xmlns="http://schemas.openxmlformats.org/spreadsheetml/2006/main">
  <numFmts count="10">
    <numFmt numFmtId="164" formatCode="General"/>
    <numFmt numFmtId="165" formatCode="dd\-mm\-yyyy"/>
    <numFmt numFmtId="166" formatCode="#,##0.00;[RED]\(#,##0.00\)"/>
    <numFmt numFmtId="167" formatCode="0%"/>
    <numFmt numFmtId="168" formatCode="#,##0.00"/>
    <numFmt numFmtId="169" formatCode="#,##0"/>
    <numFmt numFmtId="170" formatCode="General"/>
    <numFmt numFmtId="171" formatCode="0.0%"/>
    <numFmt numFmtId="172" formatCode="dd\-mm\-yyyy\ hh:mm"/>
    <numFmt numFmtId="173" formatCode="0"/>
  </numFmts>
  <fonts count="1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3864"/>
      <name val="Arial"/>
      <family val="0"/>
      <charset val="1"/>
    </font>
    <font>
      <i val="true"/>
      <sz val="9"/>
      <color rgb="FF595959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b val="true"/>
      <sz val="10"/>
      <color rgb="FF0000FF"/>
      <name val="Arial"/>
      <family val="0"/>
      <charset val="1"/>
    </font>
    <font>
      <sz val="9"/>
      <color rgb="FF7030A0"/>
      <name val="Consolas"/>
      <family val="0"/>
      <charset val="1"/>
    </font>
    <font>
      <i val="true"/>
      <sz val="9"/>
      <color rgb="FFC00000"/>
      <name val="Arial"/>
      <family val="0"/>
      <charset val="1"/>
    </font>
    <font>
      <sz val="10"/>
      <name val="Arial"/>
      <family val="2"/>
    </font>
    <font>
      <b val="true"/>
      <sz val="11"/>
      <color rgb="FFFFFFFF"/>
      <name val="Arial"/>
      <family val="0"/>
      <charset val="1"/>
    </font>
    <font>
      <sz val="9"/>
      <name val="Consolas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FF2CC"/>
        <bgColor rgb="FFFFFFFF"/>
      </patternFill>
    </fill>
    <fill>
      <patternFill patternType="solid">
        <fgColor rgb="FFD9E2F3"/>
        <bgColor rgb="FFCCFFFF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 diagonalUp="false" diagonalDown="false">
      <left style="thin">
        <color rgb="FFBFBFBF"/>
      </left>
      <right/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8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8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8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8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9" fontId="8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9" fontId="8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8" fontId="8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9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8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8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9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2" fontId="8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3" fontId="8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2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4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">
    <dxf>
      <font>
        <name val="Arial"/>
        <charset val="1"/>
        <family val="0"/>
        <color rgb="FF9C0006"/>
        <sz val="10"/>
      </font>
      <fill>
        <patternFill>
          <bgColor rgb="FFFFC7CE"/>
        </patternFill>
      </fill>
    </dxf>
  </dxf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7030A0"/>
      <rgbColor rgb="FFFFF2CC"/>
      <rgbColor rgb="FFCCFFFF"/>
      <rgbColor rgb="FF660066"/>
      <rgbColor rgb="FFFF8080"/>
      <rgbColor rgb="FF0066CC"/>
      <rgbColor rgb="FFD9E2F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62"/>
    <col collapsed="false" customWidth="true" hidden="false" outlineLevel="0" max="3" min="3" style="0" width="58"/>
    <col collapsed="false" customWidth="true" hidden="false" outlineLevel="0" max="4" min="4" style="0" width="10"/>
  </cols>
  <sheetData>
    <row r="1" customFormat="false" ht="21.75" hidden="false" customHeight="true" outlineLevel="0" collapsed="false">
      <c r="A1" s="1" t="s">
        <v>0</v>
      </c>
      <c r="B1" s="1"/>
      <c r="C1" s="1"/>
      <c r="D1" s="1"/>
    </row>
    <row r="2" customFormat="false" ht="15" hidden="false" customHeight="false" outlineLevel="0" collapsed="false">
      <c r="A2" s="2" t="s">
        <v>1</v>
      </c>
      <c r="B2" s="2"/>
      <c r="C2" s="2"/>
      <c r="D2" s="2"/>
    </row>
    <row r="4" customFormat="false" ht="15" hidden="false" customHeight="true" outlineLevel="0" collapsed="false">
      <c r="A4" s="3" t="s">
        <v>2</v>
      </c>
      <c r="B4" s="3" t="s">
        <v>3</v>
      </c>
      <c r="C4" s="3" t="s">
        <v>4</v>
      </c>
    </row>
    <row r="5" customFormat="false" ht="31.5" hidden="false" customHeight="true" outlineLevel="0" collapsed="false">
      <c r="A5" s="4" t="s">
        <v>5</v>
      </c>
      <c r="B5" s="5" t="s">
        <v>6</v>
      </c>
      <c r="C5" s="5" t="s">
        <v>7</v>
      </c>
    </row>
    <row r="6" customFormat="false" ht="31.5" hidden="false" customHeight="true" outlineLevel="0" collapsed="false">
      <c r="A6" s="4" t="s">
        <v>8</v>
      </c>
      <c r="B6" s="5" t="s">
        <v>9</v>
      </c>
      <c r="C6" s="5" t="s">
        <v>10</v>
      </c>
    </row>
    <row r="7" customFormat="false" ht="31.5" hidden="false" customHeight="true" outlineLevel="0" collapsed="false">
      <c r="A7" s="4" t="s">
        <v>11</v>
      </c>
      <c r="B7" s="5" t="s">
        <v>12</v>
      </c>
      <c r="C7" s="5" t="s">
        <v>13</v>
      </c>
    </row>
    <row r="8" customFormat="false" ht="31.5" hidden="false" customHeight="true" outlineLevel="0" collapsed="false">
      <c r="A8" s="4" t="s">
        <v>14</v>
      </c>
      <c r="B8" s="5" t="s">
        <v>15</v>
      </c>
      <c r="C8" s="5" t="s">
        <v>16</v>
      </c>
    </row>
    <row r="9" customFormat="false" ht="31.5" hidden="false" customHeight="true" outlineLevel="0" collapsed="false">
      <c r="A9" s="4" t="s">
        <v>17</v>
      </c>
      <c r="B9" s="5" t="s">
        <v>18</v>
      </c>
      <c r="C9" s="5" t="s">
        <v>19</v>
      </c>
    </row>
    <row r="10" customFormat="false" ht="31.5" hidden="false" customHeight="true" outlineLevel="0" collapsed="false">
      <c r="A10" s="4" t="s">
        <v>20</v>
      </c>
      <c r="B10" s="5" t="s">
        <v>21</v>
      </c>
      <c r="C10" s="5" t="s">
        <v>22</v>
      </c>
    </row>
    <row r="11" customFormat="false" ht="31.5" hidden="false" customHeight="true" outlineLevel="0" collapsed="false">
      <c r="A11" s="4" t="s">
        <v>23</v>
      </c>
      <c r="B11" s="5" t="s">
        <v>24</v>
      </c>
      <c r="C11" s="5" t="s">
        <v>25</v>
      </c>
    </row>
    <row r="12" customFormat="false" ht="31.5" hidden="false" customHeight="true" outlineLevel="0" collapsed="false">
      <c r="A12" s="4" t="s">
        <v>26</v>
      </c>
      <c r="B12" s="5" t="s">
        <v>27</v>
      </c>
      <c r="C12" s="5" t="s">
        <v>28</v>
      </c>
    </row>
    <row r="14" customFormat="false" ht="15" hidden="false" customHeight="false" outlineLevel="0" collapsed="false">
      <c r="A14" s="6" t="s">
        <v>29</v>
      </c>
    </row>
    <row r="15" customFormat="false" ht="15" hidden="false" customHeight="false" outlineLevel="0" collapsed="false">
      <c r="A15" s="7" t="s">
        <v>30</v>
      </c>
    </row>
    <row r="16" customFormat="false" ht="15" hidden="false" customHeight="false" outlineLevel="0" collapsed="false">
      <c r="A16" s="8" t="s">
        <v>31</v>
      </c>
    </row>
    <row r="17" customFormat="false" ht="15" hidden="false" customHeight="false" outlineLevel="0" collapsed="false">
      <c r="A17" s="9" t="s">
        <v>32</v>
      </c>
    </row>
    <row r="19" customFormat="false" ht="15" hidden="false" customHeight="false" outlineLevel="0" collapsed="false">
      <c r="A19" s="10" t="s">
        <v>33</v>
      </c>
    </row>
  </sheetData>
  <mergeCells count="2">
    <mergeCell ref="A1:D1"/>
    <mergeCell ref="A2:D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1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12"/>
    <col collapsed="false" customWidth="true" hidden="false" outlineLevel="0" max="3" min="3" style="0" width="16"/>
    <col collapsed="false" customWidth="true" hidden="false" outlineLevel="0" max="4" min="4" style="0" width="11"/>
    <col collapsed="false" customWidth="true" hidden="false" outlineLevel="0" max="5" min="5" style="0" width="14"/>
    <col collapsed="false" customWidth="true" hidden="false" outlineLevel="0" max="6" min="6" style="0" width="17"/>
    <col collapsed="false" customWidth="true" hidden="false" outlineLevel="0" max="7" min="7" style="0" width="9"/>
    <col collapsed="false" customWidth="true" hidden="false" outlineLevel="0" max="8" min="8" style="0" width="14"/>
    <col collapsed="false" customWidth="true" hidden="false" outlineLevel="0" max="9" min="9" style="0" width="9"/>
    <col collapsed="false" customWidth="true" hidden="false" outlineLevel="0" max="10" min="10" style="0" width="12"/>
    <col collapsed="false" customWidth="true" hidden="false" outlineLevel="0" max="11" min="11" style="0" width="15"/>
    <col collapsed="false" customWidth="true" hidden="false" outlineLevel="0" max="12" min="12" style="0" width="13"/>
    <col collapsed="false" customWidth="true" hidden="false" outlineLevel="0" max="13" min="13" style="0" width="10"/>
    <col collapsed="false" customWidth="true" hidden="false" outlineLevel="0" max="14" min="14" style="0" width="15"/>
  </cols>
  <sheetData>
    <row r="1" customFormat="false" ht="15" hidden="false" customHeight="false" outlineLevel="0" collapsed="false">
      <c r="A1" s="11" t="s">
        <v>34</v>
      </c>
      <c r="B1" s="11" t="s">
        <v>35</v>
      </c>
      <c r="C1" s="11" t="s">
        <v>36</v>
      </c>
      <c r="D1" s="11" t="s">
        <v>37</v>
      </c>
      <c r="E1" s="11" t="s">
        <v>38</v>
      </c>
      <c r="F1" s="11" t="s">
        <v>39</v>
      </c>
      <c r="G1" s="11" t="s">
        <v>40</v>
      </c>
      <c r="H1" s="11" t="s">
        <v>41</v>
      </c>
      <c r="I1" s="11" t="s">
        <v>42</v>
      </c>
      <c r="J1" s="11" t="s">
        <v>43</v>
      </c>
      <c r="K1" s="11" t="s">
        <v>44</v>
      </c>
      <c r="L1" s="11" t="s">
        <v>45</v>
      </c>
      <c r="M1" s="11" t="s">
        <v>46</v>
      </c>
      <c r="N1" s="11" t="s">
        <v>47</v>
      </c>
      <c r="P1" s="10" t="s">
        <v>48</v>
      </c>
    </row>
    <row r="2" customFormat="false" ht="15" hidden="false" customHeight="false" outlineLevel="0" collapsed="false">
      <c r="A2" s="12" t="s">
        <v>49</v>
      </c>
      <c r="B2" s="13" t="n">
        <v>104292</v>
      </c>
      <c r="C2" s="14" t="n">
        <v>45763</v>
      </c>
      <c r="D2" s="12" t="s">
        <v>50</v>
      </c>
      <c r="E2" s="12" t="s">
        <v>51</v>
      </c>
      <c r="F2" s="12" t="s">
        <v>52</v>
      </c>
      <c r="G2" s="13" t="n">
        <v>5</v>
      </c>
      <c r="H2" s="15" t="n">
        <v>18388.27</v>
      </c>
      <c r="I2" s="16" t="n">
        <v>0.05</v>
      </c>
      <c r="J2" s="17" t="n">
        <f aca="false">ROUND(H2*0.18,2)</f>
        <v>3309.89</v>
      </c>
      <c r="K2" s="12" t="s">
        <v>53</v>
      </c>
      <c r="L2" s="12" t="s">
        <v>54</v>
      </c>
      <c r="M2" s="12" t="s">
        <v>55</v>
      </c>
      <c r="N2" s="13" t="n">
        <v>3</v>
      </c>
    </row>
    <row r="3" customFormat="false" ht="15" hidden="false" customHeight="false" outlineLevel="0" collapsed="false">
      <c r="A3" s="12" t="s">
        <v>56</v>
      </c>
      <c r="B3" s="13" t="n">
        <v>100761</v>
      </c>
      <c r="C3" s="14" t="n">
        <v>45771</v>
      </c>
      <c r="D3" s="12" t="s">
        <v>57</v>
      </c>
      <c r="E3" s="12" t="s">
        <v>58</v>
      </c>
      <c r="F3" s="12" t="s">
        <v>59</v>
      </c>
      <c r="G3" s="13" t="n">
        <v>1</v>
      </c>
      <c r="H3" s="15" t="n">
        <v>1336.37</v>
      </c>
      <c r="I3" s="16" t="n">
        <v>0.15</v>
      </c>
      <c r="J3" s="17" t="n">
        <f aca="false">ROUND(H3*0.18,2)</f>
        <v>240.55</v>
      </c>
      <c r="K3" s="12" t="s">
        <v>53</v>
      </c>
      <c r="L3" s="12" t="s">
        <v>54</v>
      </c>
      <c r="M3" s="12" t="s">
        <v>55</v>
      </c>
      <c r="N3" s="13" t="n">
        <v>2</v>
      </c>
    </row>
    <row r="4" customFormat="false" ht="15" hidden="false" customHeight="false" outlineLevel="0" collapsed="false">
      <c r="A4" s="12" t="s">
        <v>60</v>
      </c>
      <c r="B4" s="13" t="n">
        <v>102948</v>
      </c>
      <c r="C4" s="14" t="n">
        <v>46023</v>
      </c>
      <c r="D4" s="12" t="s">
        <v>61</v>
      </c>
      <c r="E4" s="12" t="s">
        <v>51</v>
      </c>
      <c r="F4" s="12" t="s">
        <v>52</v>
      </c>
      <c r="G4" s="13" t="n">
        <v>1</v>
      </c>
      <c r="H4" s="15" t="n">
        <v>22570.3</v>
      </c>
      <c r="I4" s="16" t="n">
        <v>0.1</v>
      </c>
      <c r="J4" s="17" t="n">
        <f aca="false">ROUND(H4*0.18,2)</f>
        <v>4062.65</v>
      </c>
      <c r="K4" s="12" t="s">
        <v>62</v>
      </c>
      <c r="L4" s="12" t="s">
        <v>54</v>
      </c>
      <c r="M4" s="12" t="s">
        <v>63</v>
      </c>
      <c r="N4" s="13" t="n">
        <v>4</v>
      </c>
    </row>
    <row r="5" customFormat="false" ht="15" hidden="false" customHeight="false" outlineLevel="0" collapsed="false">
      <c r="A5" s="12" t="s">
        <v>64</v>
      </c>
      <c r="B5" s="13" t="n">
        <v>101254</v>
      </c>
      <c r="C5" s="14" t="n">
        <v>45974</v>
      </c>
      <c r="D5" s="12" t="s">
        <v>65</v>
      </c>
      <c r="E5" s="12" t="s">
        <v>51</v>
      </c>
      <c r="F5" s="12" t="s">
        <v>66</v>
      </c>
      <c r="G5" s="13" t="n">
        <v>3</v>
      </c>
      <c r="H5" s="15" t="n">
        <v>16672.98</v>
      </c>
      <c r="I5" s="16" t="n">
        <v>0.05</v>
      </c>
      <c r="J5" s="17" t="n">
        <f aca="false">ROUND(H5*0.18,2)</f>
        <v>3001.14</v>
      </c>
      <c r="K5" s="12" t="s">
        <v>53</v>
      </c>
      <c r="L5" s="12" t="s">
        <v>54</v>
      </c>
      <c r="M5" s="12" t="s">
        <v>63</v>
      </c>
      <c r="N5" s="13" t="n">
        <v>3</v>
      </c>
    </row>
    <row r="6" customFormat="false" ht="15" hidden="false" customHeight="false" outlineLevel="0" collapsed="false">
      <c r="A6" s="12" t="s">
        <v>67</v>
      </c>
      <c r="B6" s="13" t="n">
        <v>103585</v>
      </c>
      <c r="C6" s="14" t="n">
        <v>46176</v>
      </c>
      <c r="D6" s="12" t="s">
        <v>68</v>
      </c>
      <c r="E6" s="12" t="s">
        <v>51</v>
      </c>
      <c r="F6" s="12" t="s">
        <v>59</v>
      </c>
      <c r="G6" s="13" t="n">
        <v>5</v>
      </c>
      <c r="H6" s="15" t="n">
        <v>47856.72</v>
      </c>
      <c r="I6" s="16" t="n">
        <v>0</v>
      </c>
      <c r="J6" s="17" t="n">
        <f aca="false">ROUND(H6*0.18,2)</f>
        <v>8614.21</v>
      </c>
      <c r="K6" s="12" t="s">
        <v>53</v>
      </c>
      <c r="L6" s="12" t="s">
        <v>69</v>
      </c>
      <c r="M6" s="12" t="s">
        <v>55</v>
      </c>
      <c r="N6" s="13" t="n">
        <v>3</v>
      </c>
    </row>
    <row r="7" customFormat="false" ht="15" hidden="false" customHeight="false" outlineLevel="0" collapsed="false">
      <c r="A7" s="12" t="s">
        <v>70</v>
      </c>
      <c r="B7" s="13" t="n">
        <v>100307</v>
      </c>
      <c r="C7" s="14" t="n">
        <v>45887</v>
      </c>
      <c r="D7" s="12" t="s">
        <v>50</v>
      </c>
      <c r="E7" s="12" t="s">
        <v>58</v>
      </c>
      <c r="F7" s="12" t="s">
        <v>52</v>
      </c>
      <c r="G7" s="13" t="n">
        <v>1</v>
      </c>
      <c r="H7" s="15" t="n">
        <v>29067.71</v>
      </c>
      <c r="I7" s="16" t="n">
        <v>0.1</v>
      </c>
      <c r="J7" s="17" t="n">
        <f aca="false">ROUND(H7*0.18,2)</f>
        <v>5232.19</v>
      </c>
      <c r="K7" s="12" t="s">
        <v>53</v>
      </c>
      <c r="L7" s="12" t="s">
        <v>71</v>
      </c>
      <c r="M7" s="12" t="s">
        <v>72</v>
      </c>
      <c r="N7" s="13" t="n">
        <v>1</v>
      </c>
    </row>
    <row r="8" customFormat="false" ht="15" hidden="false" customHeight="false" outlineLevel="0" collapsed="false">
      <c r="A8" s="12" t="s">
        <v>73</v>
      </c>
      <c r="B8" s="13" t="n">
        <v>101099</v>
      </c>
      <c r="C8" s="14" t="n">
        <v>46125</v>
      </c>
      <c r="D8" s="12" t="s">
        <v>74</v>
      </c>
      <c r="E8" s="12" t="s">
        <v>51</v>
      </c>
      <c r="F8" s="12" t="s">
        <v>52</v>
      </c>
      <c r="G8" s="13" t="n">
        <v>3</v>
      </c>
      <c r="H8" s="15" t="n">
        <v>48775.67</v>
      </c>
      <c r="I8" s="16" t="n">
        <v>0.05</v>
      </c>
      <c r="J8" s="17" t="n">
        <f aca="false">ROUND(H8*0.18,2)</f>
        <v>8779.62</v>
      </c>
      <c r="K8" s="12" t="s">
        <v>53</v>
      </c>
      <c r="L8" s="12" t="s">
        <v>69</v>
      </c>
      <c r="M8" s="12" t="s">
        <v>55</v>
      </c>
      <c r="N8" s="13" t="n">
        <v>2</v>
      </c>
    </row>
    <row r="9" customFormat="false" ht="15" hidden="false" customHeight="false" outlineLevel="0" collapsed="false">
      <c r="A9" s="12" t="s">
        <v>75</v>
      </c>
      <c r="B9" s="13" t="n">
        <v>103392</v>
      </c>
      <c r="C9" s="14" t="n">
        <v>46101</v>
      </c>
      <c r="D9" s="12" t="s">
        <v>50</v>
      </c>
      <c r="E9" s="12" t="s">
        <v>51</v>
      </c>
      <c r="F9" s="12" t="s">
        <v>66</v>
      </c>
      <c r="G9" s="13" t="n">
        <v>1</v>
      </c>
      <c r="H9" s="15" t="n">
        <v>38769.81</v>
      </c>
      <c r="I9" s="16" t="n">
        <v>0</v>
      </c>
      <c r="J9" s="17" t="n">
        <f aca="false">ROUND(H9*0.18,2)</f>
        <v>6978.57</v>
      </c>
      <c r="K9" s="12" t="s">
        <v>76</v>
      </c>
      <c r="L9" s="12" t="s">
        <v>71</v>
      </c>
      <c r="M9" s="12" t="s">
        <v>55</v>
      </c>
      <c r="N9" s="13" t="n">
        <v>4</v>
      </c>
    </row>
    <row r="10" customFormat="false" ht="15" hidden="false" customHeight="false" outlineLevel="0" collapsed="false">
      <c r="A10" s="12" t="s">
        <v>77</v>
      </c>
      <c r="B10" s="13" t="n">
        <v>104110</v>
      </c>
      <c r="C10" s="14" t="n">
        <v>46026</v>
      </c>
      <c r="D10" s="12" t="s">
        <v>50</v>
      </c>
      <c r="E10" s="12" t="s">
        <v>51</v>
      </c>
      <c r="F10" s="12" t="s">
        <v>59</v>
      </c>
      <c r="G10" s="13" t="n">
        <v>4</v>
      </c>
      <c r="H10" s="15" t="n">
        <v>-44430.83</v>
      </c>
      <c r="I10" s="16" t="n">
        <v>0.05</v>
      </c>
      <c r="J10" s="17" t="n">
        <f aca="false">ROUND(H10*0.18,2)</f>
        <v>-7997.55</v>
      </c>
      <c r="K10" s="12" t="s">
        <v>53</v>
      </c>
      <c r="L10" s="12" t="s">
        <v>78</v>
      </c>
      <c r="M10" s="12" t="s">
        <v>72</v>
      </c>
      <c r="N10" s="13" t="n">
        <v>4</v>
      </c>
    </row>
    <row r="11" customFormat="false" ht="15" hidden="false" customHeight="false" outlineLevel="0" collapsed="false">
      <c r="A11" s="12" t="s">
        <v>79</v>
      </c>
      <c r="B11" s="13" t="n">
        <v>102694</v>
      </c>
      <c r="C11" s="14" t="n">
        <v>46126</v>
      </c>
      <c r="D11" s="12" t="s">
        <v>65</v>
      </c>
      <c r="E11" s="12" t="s">
        <v>51</v>
      </c>
      <c r="F11" s="12" t="s">
        <v>52</v>
      </c>
      <c r="G11" s="13" t="n">
        <v>3</v>
      </c>
      <c r="H11" s="15" t="n">
        <v>45929.48</v>
      </c>
      <c r="I11" s="16" t="n">
        <v>0.05</v>
      </c>
      <c r="J11" s="17" t="n">
        <f aca="false">ROUND(H11*0.18,2)</f>
        <v>8267.31</v>
      </c>
      <c r="K11" s="12" t="s">
        <v>76</v>
      </c>
      <c r="L11" s="12" t="s">
        <v>54</v>
      </c>
      <c r="M11" s="12" t="s">
        <v>72</v>
      </c>
      <c r="N11" s="13" t="n">
        <v>5</v>
      </c>
    </row>
    <row r="12" customFormat="false" ht="15" hidden="false" customHeight="false" outlineLevel="0" collapsed="false">
      <c r="A12" s="12" t="s">
        <v>80</v>
      </c>
      <c r="B12" s="13" t="n">
        <v>102282</v>
      </c>
      <c r="C12" s="14" t="n">
        <v>46168</v>
      </c>
      <c r="D12" s="12" t="s">
        <v>57</v>
      </c>
      <c r="E12" s="12" t="s">
        <v>58</v>
      </c>
      <c r="F12" s="12" t="s">
        <v>81</v>
      </c>
      <c r="G12" s="13" t="n">
        <v>4</v>
      </c>
      <c r="H12" s="15" t="n">
        <v>51779.41</v>
      </c>
      <c r="I12" s="16" t="n">
        <v>0</v>
      </c>
      <c r="J12" s="17" t="n">
        <f aca="false">ROUND(H12*0.18,2)</f>
        <v>9320.29</v>
      </c>
      <c r="K12" s="12" t="s">
        <v>53</v>
      </c>
      <c r="L12" s="12" t="s">
        <v>69</v>
      </c>
      <c r="M12" s="12" t="s">
        <v>63</v>
      </c>
      <c r="N12" s="13" t="n">
        <v>0</v>
      </c>
    </row>
    <row r="13" customFormat="false" ht="15" hidden="false" customHeight="false" outlineLevel="0" collapsed="false">
      <c r="A13" s="12" t="s">
        <v>82</v>
      </c>
      <c r="B13" s="13" t="n">
        <v>104577</v>
      </c>
      <c r="C13" s="14" t="n">
        <v>45743</v>
      </c>
      <c r="D13" s="12" t="s">
        <v>68</v>
      </c>
      <c r="E13" s="12" t="s">
        <v>58</v>
      </c>
      <c r="F13" s="12" t="s">
        <v>81</v>
      </c>
      <c r="G13" s="13" t="n">
        <v>1</v>
      </c>
      <c r="H13" s="15" t="n">
        <v>25476.19</v>
      </c>
      <c r="I13" s="16" t="n">
        <v>0.05</v>
      </c>
      <c r="J13" s="17" t="n">
        <f aca="false">ROUND(H13*0.18,2)</f>
        <v>4585.71</v>
      </c>
      <c r="K13" s="12" t="s">
        <v>83</v>
      </c>
      <c r="L13" s="12" t="s">
        <v>54</v>
      </c>
      <c r="M13" s="12" t="s">
        <v>55</v>
      </c>
      <c r="N13" s="13" t="n">
        <v>2</v>
      </c>
    </row>
    <row r="14" customFormat="false" ht="15" hidden="false" customHeight="false" outlineLevel="0" collapsed="false">
      <c r="A14" s="12" t="s">
        <v>84</v>
      </c>
      <c r="B14" s="13" t="n">
        <v>102667</v>
      </c>
      <c r="C14" s="14" t="n">
        <v>46161</v>
      </c>
      <c r="D14" s="12" t="s">
        <v>74</v>
      </c>
      <c r="E14" s="12" t="s">
        <v>51</v>
      </c>
      <c r="F14" s="12" t="s">
        <v>81</v>
      </c>
      <c r="G14" s="13" t="n">
        <v>5</v>
      </c>
      <c r="H14" s="15" t="n">
        <v>9526.14</v>
      </c>
      <c r="I14" s="16" t="n">
        <v>0</v>
      </c>
      <c r="J14" s="17" t="n">
        <f aca="false">ROUND(H14*0.18,2)</f>
        <v>1714.71</v>
      </c>
      <c r="K14" s="12" t="s">
        <v>53</v>
      </c>
      <c r="L14" s="12" t="s">
        <v>54</v>
      </c>
      <c r="M14" s="12" t="s">
        <v>55</v>
      </c>
      <c r="N14" s="13" t="n">
        <v>1</v>
      </c>
    </row>
    <row r="15" customFormat="false" ht="15" hidden="false" customHeight="false" outlineLevel="0" collapsed="false">
      <c r="A15" s="12" t="s">
        <v>85</v>
      </c>
      <c r="B15" s="13" t="n">
        <v>103522</v>
      </c>
      <c r="C15" s="14" t="n">
        <v>45821</v>
      </c>
      <c r="D15" s="12" t="s">
        <v>50</v>
      </c>
      <c r="E15" s="12" t="s">
        <v>51</v>
      </c>
      <c r="F15" s="12" t="s">
        <v>66</v>
      </c>
      <c r="G15" s="13" t="n">
        <v>5</v>
      </c>
      <c r="H15" s="15" t="n">
        <v>16838.59</v>
      </c>
      <c r="I15" s="16" t="n">
        <v>0.05</v>
      </c>
      <c r="J15" s="17" t="n">
        <f aca="false">ROUND(H15*0.18,2)</f>
        <v>3030.95</v>
      </c>
      <c r="K15" s="12" t="s">
        <v>53</v>
      </c>
      <c r="L15" s="12" t="s">
        <v>71</v>
      </c>
      <c r="M15" s="12" t="s">
        <v>63</v>
      </c>
      <c r="N15" s="13" t="n">
        <v>4</v>
      </c>
    </row>
    <row r="16" customFormat="false" ht="15" hidden="false" customHeight="false" outlineLevel="0" collapsed="false">
      <c r="A16" s="12" t="s">
        <v>86</v>
      </c>
      <c r="B16" s="13" t="n">
        <v>100969</v>
      </c>
      <c r="C16" s="14" t="n">
        <v>46056</v>
      </c>
      <c r="D16" s="12" t="s">
        <v>65</v>
      </c>
      <c r="E16" s="12" t="s">
        <v>58</v>
      </c>
      <c r="F16" s="12" t="s">
        <v>66</v>
      </c>
      <c r="G16" s="13" t="n">
        <v>3</v>
      </c>
      <c r="H16" s="15" t="n">
        <v>21429.13</v>
      </c>
      <c r="I16" s="16" t="n">
        <v>0.15</v>
      </c>
      <c r="J16" s="17" t="n">
        <f aca="false">ROUND(H16*0.18,2)</f>
        <v>3857.24</v>
      </c>
      <c r="K16" s="12" t="s">
        <v>83</v>
      </c>
      <c r="L16" s="12" t="s">
        <v>54</v>
      </c>
      <c r="M16" s="12" t="s">
        <v>63</v>
      </c>
      <c r="N16" s="13" t="n">
        <v>4</v>
      </c>
    </row>
    <row r="17" customFormat="false" ht="15" hidden="false" customHeight="false" outlineLevel="0" collapsed="false">
      <c r="A17" s="12" t="s">
        <v>87</v>
      </c>
      <c r="B17" s="13" t="n">
        <v>102587</v>
      </c>
      <c r="C17" s="14" t="n">
        <v>46118</v>
      </c>
      <c r="D17" s="12" t="s">
        <v>57</v>
      </c>
      <c r="E17" s="12" t="s">
        <v>58</v>
      </c>
      <c r="F17" s="12" t="s">
        <v>59</v>
      </c>
      <c r="G17" s="13" t="n">
        <v>4</v>
      </c>
      <c r="H17" s="15" t="n">
        <v>18833.49</v>
      </c>
      <c r="I17" s="16" t="n">
        <v>0.05</v>
      </c>
      <c r="J17" s="17" t="n">
        <f aca="false">ROUND(H17*0.18,2)</f>
        <v>3390.03</v>
      </c>
      <c r="K17" s="12" t="s">
        <v>76</v>
      </c>
      <c r="L17" s="12" t="s">
        <v>69</v>
      </c>
      <c r="M17" s="12" t="s">
        <v>63</v>
      </c>
      <c r="N17" s="13" t="n">
        <v>4</v>
      </c>
    </row>
    <row r="18" customFormat="false" ht="15" hidden="false" customHeight="false" outlineLevel="0" collapsed="false">
      <c r="A18" s="12" t="s">
        <v>88</v>
      </c>
      <c r="B18" s="13" t="n">
        <v>102855</v>
      </c>
      <c r="C18" s="14" t="n">
        <v>46127</v>
      </c>
      <c r="D18" s="12" t="s">
        <v>68</v>
      </c>
      <c r="E18" s="12" t="s">
        <v>58</v>
      </c>
      <c r="F18" s="12" t="s">
        <v>89</v>
      </c>
      <c r="G18" s="13" t="n">
        <v>5</v>
      </c>
      <c r="H18" s="15" t="n">
        <v>12335.83</v>
      </c>
      <c r="I18" s="16" t="n">
        <v>0.05</v>
      </c>
      <c r="J18" s="17" t="n">
        <f aca="false">ROUND(H18*0.18,2)</f>
        <v>2220.45</v>
      </c>
      <c r="K18" s="12" t="s">
        <v>83</v>
      </c>
      <c r="L18" s="12" t="s">
        <v>71</v>
      </c>
      <c r="M18" s="12" t="s">
        <v>63</v>
      </c>
      <c r="N18" s="13" t="n">
        <v>5</v>
      </c>
    </row>
    <row r="19" customFormat="false" ht="15" hidden="false" customHeight="false" outlineLevel="0" collapsed="false">
      <c r="A19" s="12" t="s">
        <v>90</v>
      </c>
      <c r="B19" s="13" t="n">
        <v>104562</v>
      </c>
      <c r="C19" s="14" t="n">
        <v>45707</v>
      </c>
      <c r="D19" s="12" t="s">
        <v>61</v>
      </c>
      <c r="E19" s="12" t="s">
        <v>51</v>
      </c>
      <c r="F19" s="12" t="s">
        <v>81</v>
      </c>
      <c r="G19" s="13" t="n">
        <v>4</v>
      </c>
      <c r="H19" s="15" t="n">
        <v>3633.73</v>
      </c>
      <c r="I19" s="16" t="n">
        <v>0.1</v>
      </c>
      <c r="J19" s="17" t="n">
        <f aca="false">ROUND(H19*0.18,2)</f>
        <v>654.07</v>
      </c>
      <c r="K19" s="12" t="s">
        <v>83</v>
      </c>
      <c r="L19" s="12" t="s">
        <v>54</v>
      </c>
      <c r="M19" s="12" t="s">
        <v>63</v>
      </c>
      <c r="N19" s="13" t="n">
        <v>5</v>
      </c>
    </row>
    <row r="20" customFormat="false" ht="15" hidden="false" customHeight="false" outlineLevel="0" collapsed="false">
      <c r="A20" s="12" t="s">
        <v>91</v>
      </c>
      <c r="B20" s="13" t="n">
        <v>104334</v>
      </c>
      <c r="C20" s="14" t="n">
        <v>45799</v>
      </c>
      <c r="D20" s="12" t="s">
        <v>50</v>
      </c>
      <c r="E20" s="12" t="s">
        <v>51</v>
      </c>
      <c r="F20" s="12" t="s">
        <v>81</v>
      </c>
      <c r="G20" s="13" t="n">
        <v>4</v>
      </c>
      <c r="H20" s="15" t="n">
        <v>12967.33</v>
      </c>
      <c r="I20" s="16" t="n">
        <v>0</v>
      </c>
      <c r="J20" s="17" t="n">
        <f aca="false">ROUND(H20*0.18,2)</f>
        <v>2334.12</v>
      </c>
      <c r="K20" s="12" t="s">
        <v>53</v>
      </c>
      <c r="L20" s="12" t="s">
        <v>71</v>
      </c>
      <c r="M20" s="12" t="s">
        <v>55</v>
      </c>
      <c r="N20" s="13" t="n">
        <v>3</v>
      </c>
    </row>
    <row r="21" customFormat="false" ht="15" hidden="false" customHeight="false" outlineLevel="0" collapsed="false">
      <c r="A21" s="12" t="s">
        <v>92</v>
      </c>
      <c r="B21" s="13" t="n">
        <v>101633</v>
      </c>
      <c r="C21" s="14" t="n">
        <v>46010</v>
      </c>
      <c r="D21" s="12" t="s">
        <v>50</v>
      </c>
      <c r="E21" s="12" t="s">
        <v>51</v>
      </c>
      <c r="F21" s="12" t="s">
        <v>59</v>
      </c>
      <c r="G21" s="13" t="n">
        <v>4</v>
      </c>
      <c r="H21" s="15" t="n">
        <v>21815.37</v>
      </c>
      <c r="I21" s="16" t="n">
        <v>0.15</v>
      </c>
      <c r="J21" s="17" t="n">
        <f aca="false">ROUND(H21*0.18,2)</f>
        <v>3926.77</v>
      </c>
      <c r="K21" s="12" t="s">
        <v>53</v>
      </c>
      <c r="L21" s="12" t="s">
        <v>54</v>
      </c>
      <c r="M21" s="12" t="s">
        <v>72</v>
      </c>
      <c r="N21" s="13" t="n">
        <v>3</v>
      </c>
    </row>
    <row r="22" customFormat="false" ht="15" hidden="false" customHeight="false" outlineLevel="0" collapsed="false">
      <c r="A22" s="12" t="s">
        <v>93</v>
      </c>
      <c r="B22" s="13" t="n">
        <v>104048</v>
      </c>
      <c r="C22" s="14" t="n">
        <v>46113</v>
      </c>
      <c r="D22" s="12" t="s">
        <v>65</v>
      </c>
      <c r="E22" s="12" t="s">
        <v>51</v>
      </c>
      <c r="F22" s="12" t="s">
        <v>52</v>
      </c>
      <c r="G22" s="13" t="n">
        <v>3</v>
      </c>
      <c r="H22" s="15" t="n">
        <v>18727.46</v>
      </c>
      <c r="I22" s="16" t="n">
        <v>0.15</v>
      </c>
      <c r="J22" s="17" t="n">
        <f aca="false">ROUND(H22*0.18,2)</f>
        <v>3370.94</v>
      </c>
      <c r="K22" s="12" t="s">
        <v>83</v>
      </c>
      <c r="L22" s="12" t="s">
        <v>54</v>
      </c>
      <c r="M22" s="12" t="s">
        <v>63</v>
      </c>
      <c r="N22" s="13" t="n">
        <v>1</v>
      </c>
    </row>
    <row r="23" customFormat="false" ht="15" hidden="false" customHeight="false" outlineLevel="0" collapsed="false">
      <c r="A23" s="12" t="s">
        <v>94</v>
      </c>
      <c r="B23" s="13" t="n">
        <v>103820</v>
      </c>
      <c r="C23" s="14" t="n">
        <v>45996</v>
      </c>
      <c r="D23" s="12" t="s">
        <v>61</v>
      </c>
      <c r="E23" s="12" t="s">
        <v>51</v>
      </c>
      <c r="F23" s="12" t="s">
        <v>81</v>
      </c>
      <c r="G23" s="13" t="n">
        <v>1</v>
      </c>
      <c r="H23" s="15" t="n">
        <v>52507.65</v>
      </c>
      <c r="I23" s="16" t="n">
        <v>0</v>
      </c>
      <c r="J23" s="17" t="n">
        <f aca="false">ROUND(H23*0.18,2)</f>
        <v>9451.38</v>
      </c>
      <c r="K23" s="12" t="s">
        <v>76</v>
      </c>
      <c r="L23" s="12" t="s">
        <v>54</v>
      </c>
      <c r="M23" s="12" t="s">
        <v>72</v>
      </c>
      <c r="N23" s="13" t="n">
        <v>4</v>
      </c>
    </row>
    <row r="24" customFormat="false" ht="15" hidden="false" customHeight="false" outlineLevel="0" collapsed="false">
      <c r="A24" s="12" t="s">
        <v>95</v>
      </c>
      <c r="B24" s="13" t="n">
        <v>102397</v>
      </c>
      <c r="C24" s="14" t="n">
        <v>45877</v>
      </c>
      <c r="D24" s="12" t="s">
        <v>68</v>
      </c>
      <c r="E24" s="12" t="s">
        <v>51</v>
      </c>
      <c r="F24" s="12" t="s">
        <v>52</v>
      </c>
      <c r="G24" s="13" t="n">
        <v>3</v>
      </c>
      <c r="H24" s="15" t="n">
        <v>7101.51</v>
      </c>
      <c r="I24" s="16" t="n">
        <v>0.1</v>
      </c>
      <c r="J24" s="17" t="n">
        <f aca="false">ROUND(H24*0.18,2)</f>
        <v>1278.27</v>
      </c>
      <c r="K24" s="12" t="s">
        <v>76</v>
      </c>
      <c r="L24" s="12" t="s">
        <v>54</v>
      </c>
      <c r="M24" s="12" t="s">
        <v>63</v>
      </c>
      <c r="N24" s="13" t="n">
        <v>2</v>
      </c>
    </row>
    <row r="25" customFormat="false" ht="15" hidden="false" customHeight="false" outlineLevel="0" collapsed="false">
      <c r="A25" s="12" t="s">
        <v>96</v>
      </c>
      <c r="B25" s="13" t="n">
        <v>101503</v>
      </c>
      <c r="C25" s="14" t="n">
        <v>45766</v>
      </c>
      <c r="D25" s="12" t="s">
        <v>74</v>
      </c>
      <c r="E25" s="12" t="s">
        <v>58</v>
      </c>
      <c r="F25" s="12" t="s">
        <v>66</v>
      </c>
      <c r="G25" s="13" t="n">
        <v>2</v>
      </c>
      <c r="H25" s="15" t="n">
        <v>52572.31</v>
      </c>
      <c r="I25" s="16" t="n">
        <v>0.1</v>
      </c>
      <c r="J25" s="17" t="n">
        <f aca="false">ROUND(H25*0.18,2)</f>
        <v>9463.02</v>
      </c>
      <c r="K25" s="12" t="s">
        <v>83</v>
      </c>
      <c r="L25" s="12" t="s">
        <v>54</v>
      </c>
      <c r="M25" s="12" t="s">
        <v>55</v>
      </c>
      <c r="N25" s="13" t="n">
        <v>2</v>
      </c>
    </row>
    <row r="26" customFormat="false" ht="15" hidden="false" customHeight="false" outlineLevel="0" collapsed="false">
      <c r="A26" s="12" t="s">
        <v>97</v>
      </c>
      <c r="B26" s="13" t="n">
        <v>100623</v>
      </c>
      <c r="C26" s="14" t="n">
        <v>45956</v>
      </c>
      <c r="D26" s="12" t="s">
        <v>57</v>
      </c>
      <c r="E26" s="12" t="s">
        <v>58</v>
      </c>
      <c r="F26" s="12" t="s">
        <v>66</v>
      </c>
      <c r="G26" s="13" t="n">
        <v>3</v>
      </c>
      <c r="H26" s="15" t="n">
        <v>32840.24</v>
      </c>
      <c r="I26" s="16" t="n">
        <v>0</v>
      </c>
      <c r="J26" s="17" t="n">
        <f aca="false">ROUND(H26*0.18,2)</f>
        <v>5911.24</v>
      </c>
      <c r="K26" s="12" t="s">
        <v>83</v>
      </c>
      <c r="L26" s="12" t="s">
        <v>54</v>
      </c>
      <c r="M26" s="12" t="s">
        <v>72</v>
      </c>
      <c r="N26" s="13" t="n">
        <v>2</v>
      </c>
    </row>
    <row r="27" customFormat="false" ht="15" hidden="false" customHeight="false" outlineLevel="0" collapsed="false">
      <c r="A27" s="12" t="s">
        <v>98</v>
      </c>
      <c r="B27" s="13" t="n">
        <v>100569</v>
      </c>
      <c r="C27" s="14" t="n">
        <v>45756</v>
      </c>
      <c r="D27" s="12" t="s">
        <v>50</v>
      </c>
      <c r="E27" s="12" t="s">
        <v>58</v>
      </c>
      <c r="F27" s="12" t="s">
        <v>66</v>
      </c>
      <c r="G27" s="13" t="n">
        <v>1</v>
      </c>
      <c r="H27" s="15" t="n">
        <v>53140.28</v>
      </c>
      <c r="I27" s="16" t="n">
        <v>0</v>
      </c>
      <c r="J27" s="17" t="n">
        <f aca="false">ROUND(H27*0.18,2)</f>
        <v>9565.25</v>
      </c>
      <c r="K27" s="12" t="s">
        <v>62</v>
      </c>
      <c r="L27" s="12" t="s">
        <v>54</v>
      </c>
      <c r="M27" s="12" t="s">
        <v>72</v>
      </c>
      <c r="N27" s="13" t="n">
        <v>3</v>
      </c>
    </row>
    <row r="28" customFormat="false" ht="15" hidden="false" customHeight="false" outlineLevel="0" collapsed="false">
      <c r="A28" s="12" t="s">
        <v>99</v>
      </c>
      <c r="B28" s="13" t="n">
        <v>102689</v>
      </c>
      <c r="C28" s="14" t="n">
        <v>45878</v>
      </c>
      <c r="D28" s="12" t="s">
        <v>68</v>
      </c>
      <c r="E28" s="12" t="s">
        <v>51</v>
      </c>
      <c r="F28" s="12" t="s">
        <v>59</v>
      </c>
      <c r="G28" s="13" t="n">
        <v>1</v>
      </c>
      <c r="H28" s="15" t="n">
        <v>50951.23</v>
      </c>
      <c r="I28" s="16" t="n">
        <v>0.1</v>
      </c>
      <c r="J28" s="17" t="n">
        <f aca="false">ROUND(H28*0.18,2)</f>
        <v>9171.22</v>
      </c>
      <c r="K28" s="12" t="s">
        <v>62</v>
      </c>
      <c r="L28" s="12" t="s">
        <v>54</v>
      </c>
      <c r="M28" s="12" t="s">
        <v>55</v>
      </c>
      <c r="N28" s="13" t="n">
        <v>5</v>
      </c>
    </row>
    <row r="29" customFormat="false" ht="15" hidden="false" customHeight="false" outlineLevel="0" collapsed="false">
      <c r="A29" s="12" t="s">
        <v>100</v>
      </c>
      <c r="B29" s="13" t="n">
        <v>103018</v>
      </c>
      <c r="C29" s="14" t="n">
        <v>45717</v>
      </c>
      <c r="D29" s="12" t="s">
        <v>74</v>
      </c>
      <c r="E29" s="12" t="s">
        <v>51</v>
      </c>
      <c r="F29" s="12" t="s">
        <v>59</v>
      </c>
      <c r="G29" s="13" t="n">
        <v>1</v>
      </c>
      <c r="H29" s="15" t="n">
        <v>22130.74</v>
      </c>
      <c r="I29" s="16" t="n">
        <v>0</v>
      </c>
      <c r="J29" s="17" t="n">
        <f aca="false">ROUND(H29*0.18,2)</f>
        <v>3983.53</v>
      </c>
      <c r="K29" s="12" t="s">
        <v>62</v>
      </c>
      <c r="L29" s="12" t="s">
        <v>54</v>
      </c>
      <c r="M29" s="12" t="s">
        <v>72</v>
      </c>
      <c r="N29" s="13" t="n">
        <v>5</v>
      </c>
    </row>
    <row r="30" customFormat="false" ht="15" hidden="false" customHeight="false" outlineLevel="0" collapsed="false">
      <c r="A30" s="12" t="s">
        <v>101</v>
      </c>
      <c r="B30" s="13" t="n">
        <v>103513</v>
      </c>
      <c r="C30" s="14" t="n">
        <v>45984</v>
      </c>
      <c r="D30" s="12" t="s">
        <v>68</v>
      </c>
      <c r="E30" s="12" t="s">
        <v>58</v>
      </c>
      <c r="F30" s="12" t="s">
        <v>52</v>
      </c>
      <c r="G30" s="13" t="n">
        <v>3</v>
      </c>
      <c r="H30" s="15" t="n">
        <v>17175.48</v>
      </c>
      <c r="I30" s="16" t="n">
        <v>0</v>
      </c>
      <c r="J30" s="17" t="n">
        <f aca="false">ROUND(H30*0.18,2)</f>
        <v>3091.59</v>
      </c>
      <c r="K30" s="12" t="s">
        <v>83</v>
      </c>
      <c r="L30" s="12" t="s">
        <v>54</v>
      </c>
      <c r="M30" s="12" t="s">
        <v>55</v>
      </c>
      <c r="N30" s="13" t="n">
        <v>0</v>
      </c>
    </row>
    <row r="31" customFormat="false" ht="15" hidden="false" customHeight="false" outlineLevel="0" collapsed="false">
      <c r="A31" s="12" t="s">
        <v>102</v>
      </c>
      <c r="B31" s="13" t="n">
        <v>101068</v>
      </c>
      <c r="C31" s="14" t="n">
        <v>45696</v>
      </c>
      <c r="D31" s="12" t="s">
        <v>50</v>
      </c>
      <c r="E31" s="12" t="s">
        <v>51</v>
      </c>
      <c r="F31" s="12" t="s">
        <v>66</v>
      </c>
      <c r="G31" s="13" t="n">
        <v>5</v>
      </c>
      <c r="H31" s="15" t="n">
        <v>34500.6</v>
      </c>
      <c r="I31" s="16" t="n">
        <v>0.1</v>
      </c>
      <c r="J31" s="17" t="n">
        <f aca="false">ROUND(H31*0.18,2)</f>
        <v>6210.11</v>
      </c>
      <c r="K31" s="12" t="s">
        <v>62</v>
      </c>
      <c r="L31" s="12" t="s">
        <v>54</v>
      </c>
      <c r="M31" s="12" t="s">
        <v>63</v>
      </c>
      <c r="N31" s="13" t="n">
        <v>3</v>
      </c>
    </row>
    <row r="32" customFormat="false" ht="15" hidden="false" customHeight="false" outlineLevel="0" collapsed="false">
      <c r="A32" s="12" t="s">
        <v>103</v>
      </c>
      <c r="B32" s="13" t="n">
        <v>103246</v>
      </c>
      <c r="C32" s="14" t="n">
        <v>46044</v>
      </c>
      <c r="D32" s="12" t="s">
        <v>50</v>
      </c>
      <c r="E32" s="12" t="s">
        <v>51</v>
      </c>
      <c r="F32" s="12" t="s">
        <v>81</v>
      </c>
      <c r="G32" s="13" t="n">
        <v>2</v>
      </c>
      <c r="H32" s="15" t="n">
        <v>20351.26</v>
      </c>
      <c r="I32" s="16" t="n">
        <v>0</v>
      </c>
      <c r="J32" s="17" t="n">
        <f aca="false">ROUND(H32*0.18,2)</f>
        <v>3663.23</v>
      </c>
      <c r="K32" s="12" t="s">
        <v>83</v>
      </c>
      <c r="L32" s="12" t="s">
        <v>54</v>
      </c>
      <c r="M32" s="12" t="s">
        <v>55</v>
      </c>
      <c r="N32" s="13" t="n">
        <v>5</v>
      </c>
    </row>
    <row r="33" customFormat="false" ht="15" hidden="false" customHeight="false" outlineLevel="0" collapsed="false">
      <c r="A33" s="12" t="s">
        <v>104</v>
      </c>
      <c r="B33" s="13" t="n">
        <v>101309</v>
      </c>
      <c r="C33" s="14" t="n">
        <v>45891</v>
      </c>
      <c r="D33" s="12" t="s">
        <v>65</v>
      </c>
      <c r="E33" s="12" t="s">
        <v>58</v>
      </c>
      <c r="F33" s="12" t="s">
        <v>66</v>
      </c>
      <c r="G33" s="13" t="n">
        <v>5</v>
      </c>
      <c r="H33" s="15" t="n">
        <v>49036.06</v>
      </c>
      <c r="I33" s="16" t="n">
        <v>0.05</v>
      </c>
      <c r="J33" s="17" t="n">
        <f aca="false">ROUND(H33*0.18,2)</f>
        <v>8826.49</v>
      </c>
      <c r="K33" s="12" t="s">
        <v>53</v>
      </c>
      <c r="L33" s="12" t="s">
        <v>54</v>
      </c>
      <c r="M33" s="12" t="s">
        <v>72</v>
      </c>
      <c r="N33" s="13" t="n">
        <v>2</v>
      </c>
    </row>
    <row r="34" customFormat="false" ht="15" hidden="false" customHeight="false" outlineLevel="0" collapsed="false">
      <c r="A34" s="12" t="s">
        <v>105</v>
      </c>
      <c r="B34" s="13" t="n">
        <v>104963</v>
      </c>
      <c r="C34" s="14" t="n">
        <v>45749</v>
      </c>
      <c r="D34" s="12" t="s">
        <v>50</v>
      </c>
      <c r="E34" s="12" t="s">
        <v>51</v>
      </c>
      <c r="F34" s="12" t="s">
        <v>89</v>
      </c>
      <c r="G34" s="13" t="n">
        <v>5</v>
      </c>
      <c r="H34" s="15" t="n">
        <v>51999.46</v>
      </c>
      <c r="I34" s="16" t="n">
        <v>0.15</v>
      </c>
      <c r="J34" s="17" t="n">
        <f aca="false">ROUND(H34*0.18,2)</f>
        <v>9359.9</v>
      </c>
      <c r="K34" s="12" t="s">
        <v>62</v>
      </c>
      <c r="L34" s="12" t="s">
        <v>54</v>
      </c>
      <c r="M34" s="12" t="s">
        <v>72</v>
      </c>
      <c r="N34" s="13" t="n">
        <v>5</v>
      </c>
    </row>
    <row r="35" customFormat="false" ht="15" hidden="false" customHeight="false" outlineLevel="0" collapsed="false">
      <c r="A35" s="12" t="s">
        <v>106</v>
      </c>
      <c r="B35" s="13" t="n">
        <v>102700</v>
      </c>
      <c r="C35" s="14" t="n">
        <v>45715</v>
      </c>
      <c r="D35" s="12" t="s">
        <v>74</v>
      </c>
      <c r="E35" s="12" t="s">
        <v>58</v>
      </c>
      <c r="F35" s="12" t="s">
        <v>81</v>
      </c>
      <c r="G35" s="13" t="n">
        <v>4</v>
      </c>
      <c r="H35" s="15" t="n">
        <v>41793.82</v>
      </c>
      <c r="I35" s="16" t="n">
        <v>0</v>
      </c>
      <c r="J35" s="17" t="n">
        <f aca="false">ROUND(H35*0.18,2)</f>
        <v>7522.89</v>
      </c>
      <c r="K35" s="12" t="s">
        <v>76</v>
      </c>
      <c r="L35" s="12" t="s">
        <v>71</v>
      </c>
      <c r="M35" s="12" t="s">
        <v>55</v>
      </c>
      <c r="N35" s="13" t="n">
        <v>4</v>
      </c>
    </row>
    <row r="36" customFormat="false" ht="15" hidden="false" customHeight="false" outlineLevel="0" collapsed="false">
      <c r="A36" s="12" t="s">
        <v>107</v>
      </c>
      <c r="B36" s="13" t="n">
        <v>103369</v>
      </c>
      <c r="C36" s="14" t="n">
        <v>46026</v>
      </c>
      <c r="D36" s="12" t="s">
        <v>50</v>
      </c>
      <c r="E36" s="12" t="s">
        <v>51</v>
      </c>
      <c r="F36" s="12" t="s">
        <v>66</v>
      </c>
      <c r="G36" s="13" t="n">
        <v>3</v>
      </c>
      <c r="H36" s="15" t="n">
        <v>51084.95</v>
      </c>
      <c r="I36" s="16" t="n">
        <v>0.15</v>
      </c>
      <c r="J36" s="17" t="n">
        <f aca="false">ROUND(H36*0.18,2)</f>
        <v>9195.29</v>
      </c>
      <c r="K36" s="12" t="s">
        <v>76</v>
      </c>
      <c r="L36" s="12" t="s">
        <v>54</v>
      </c>
      <c r="M36" s="12" t="s">
        <v>72</v>
      </c>
      <c r="N36" s="13" t="n">
        <v>2</v>
      </c>
    </row>
    <row r="37" customFormat="false" ht="15" hidden="false" customHeight="false" outlineLevel="0" collapsed="false">
      <c r="A37" s="12" t="s">
        <v>108</v>
      </c>
      <c r="B37" s="13" t="n">
        <v>104595</v>
      </c>
      <c r="C37" s="14" t="n">
        <v>46143</v>
      </c>
      <c r="D37" s="12" t="s">
        <v>74</v>
      </c>
      <c r="E37" s="12" t="s">
        <v>51</v>
      </c>
      <c r="F37" s="12" t="s">
        <v>66</v>
      </c>
      <c r="G37" s="13" t="n">
        <v>2</v>
      </c>
      <c r="H37" s="15" t="n">
        <v>-35471.21</v>
      </c>
      <c r="I37" s="16" t="n">
        <v>0</v>
      </c>
      <c r="J37" s="17" t="n">
        <f aca="false">ROUND(H37*0.18,2)</f>
        <v>-6384.82</v>
      </c>
      <c r="K37" s="12" t="s">
        <v>53</v>
      </c>
      <c r="L37" s="12" t="s">
        <v>78</v>
      </c>
      <c r="M37" s="12" t="s">
        <v>63</v>
      </c>
      <c r="N37" s="13" t="n">
        <v>3</v>
      </c>
    </row>
    <row r="38" customFormat="false" ht="15" hidden="false" customHeight="false" outlineLevel="0" collapsed="false">
      <c r="A38" s="12" t="s">
        <v>109</v>
      </c>
      <c r="B38" s="13" t="n">
        <v>104386</v>
      </c>
      <c r="C38" s="14" t="n">
        <v>46076</v>
      </c>
      <c r="D38" s="12" t="s">
        <v>65</v>
      </c>
      <c r="E38" s="12" t="s">
        <v>51</v>
      </c>
      <c r="F38" s="12" t="s">
        <v>81</v>
      </c>
      <c r="G38" s="13" t="n">
        <v>1</v>
      </c>
      <c r="H38" s="15" t="n">
        <v>52333.8</v>
      </c>
      <c r="I38" s="16" t="n">
        <v>0</v>
      </c>
      <c r="J38" s="17" t="n">
        <f aca="false">ROUND(H38*0.18,2)</f>
        <v>9420.08</v>
      </c>
      <c r="K38" s="12" t="s">
        <v>62</v>
      </c>
      <c r="L38" s="12" t="s">
        <v>54</v>
      </c>
      <c r="M38" s="12" t="s">
        <v>55</v>
      </c>
      <c r="N38" s="13" t="n">
        <v>5</v>
      </c>
    </row>
    <row r="39" customFormat="false" ht="15" hidden="false" customHeight="false" outlineLevel="0" collapsed="false">
      <c r="A39" s="12" t="s">
        <v>110</v>
      </c>
      <c r="B39" s="13" t="n">
        <v>100925</v>
      </c>
      <c r="C39" s="14" t="n">
        <v>45676</v>
      </c>
      <c r="D39" s="12" t="s">
        <v>68</v>
      </c>
      <c r="E39" s="12" t="s">
        <v>58</v>
      </c>
      <c r="F39" s="12" t="s">
        <v>52</v>
      </c>
      <c r="G39" s="13" t="n">
        <v>3</v>
      </c>
      <c r="H39" s="15" t="n">
        <v>8622.28</v>
      </c>
      <c r="I39" s="16" t="n">
        <v>0.05</v>
      </c>
      <c r="J39" s="17" t="n">
        <f aca="false">ROUND(H39*0.18,2)</f>
        <v>1552.01</v>
      </c>
      <c r="K39" s="12" t="s">
        <v>83</v>
      </c>
      <c r="L39" s="12" t="s">
        <v>54</v>
      </c>
      <c r="M39" s="12" t="s">
        <v>72</v>
      </c>
      <c r="N39" s="13" t="n">
        <v>3</v>
      </c>
    </row>
    <row r="40" customFormat="false" ht="15" hidden="false" customHeight="false" outlineLevel="0" collapsed="false">
      <c r="A40" s="12" t="s">
        <v>111</v>
      </c>
      <c r="B40" s="13" t="n">
        <v>101394</v>
      </c>
      <c r="C40" s="14" t="n">
        <v>46178</v>
      </c>
      <c r="D40" s="12" t="s">
        <v>65</v>
      </c>
      <c r="E40" s="12" t="s">
        <v>58</v>
      </c>
      <c r="F40" s="12" t="s">
        <v>81</v>
      </c>
      <c r="G40" s="13" t="n">
        <v>4</v>
      </c>
      <c r="H40" s="15" t="n">
        <v>44888.11</v>
      </c>
      <c r="I40" s="16" t="n">
        <v>0</v>
      </c>
      <c r="J40" s="17" t="n">
        <f aca="false">ROUND(H40*0.18,2)</f>
        <v>8079.86</v>
      </c>
      <c r="K40" s="12" t="s">
        <v>62</v>
      </c>
      <c r="L40" s="12" t="s">
        <v>71</v>
      </c>
      <c r="M40" s="12" t="s">
        <v>72</v>
      </c>
      <c r="N40" s="13" t="n">
        <v>0</v>
      </c>
    </row>
    <row r="41" customFormat="false" ht="15" hidden="false" customHeight="false" outlineLevel="0" collapsed="false">
      <c r="A41" s="12" t="s">
        <v>112</v>
      </c>
      <c r="B41" s="13" t="n">
        <v>102499</v>
      </c>
      <c r="C41" s="14" t="n">
        <v>45960</v>
      </c>
      <c r="D41" s="12" t="s">
        <v>68</v>
      </c>
      <c r="E41" s="12" t="s">
        <v>51</v>
      </c>
      <c r="F41" s="12" t="s">
        <v>66</v>
      </c>
      <c r="G41" s="13" t="n">
        <v>2</v>
      </c>
      <c r="H41" s="15" t="n">
        <v>9926.93</v>
      </c>
      <c r="I41" s="16" t="n">
        <v>0.05</v>
      </c>
      <c r="J41" s="17" t="n">
        <f aca="false">ROUND(H41*0.18,2)</f>
        <v>1786.85</v>
      </c>
      <c r="K41" s="12" t="s">
        <v>76</v>
      </c>
      <c r="L41" s="12" t="s">
        <v>54</v>
      </c>
      <c r="M41" s="12" t="s">
        <v>55</v>
      </c>
      <c r="N41" s="13" t="n">
        <v>5</v>
      </c>
    </row>
    <row r="42" customFormat="false" ht="15" hidden="false" customHeight="false" outlineLevel="0" collapsed="false">
      <c r="A42" s="12" t="s">
        <v>113</v>
      </c>
      <c r="B42" s="13" t="n">
        <v>104032</v>
      </c>
      <c r="C42" s="14" t="n">
        <v>46090</v>
      </c>
      <c r="D42" s="12" t="s">
        <v>57</v>
      </c>
      <c r="E42" s="12" t="s">
        <v>51</v>
      </c>
      <c r="F42" s="12" t="s">
        <v>81</v>
      </c>
      <c r="G42" s="13" t="n">
        <v>5</v>
      </c>
      <c r="H42" s="15" t="n">
        <v>46785.23</v>
      </c>
      <c r="I42" s="16" t="n">
        <v>0</v>
      </c>
      <c r="J42" s="17" t="n">
        <f aca="false">ROUND(H42*0.18,2)</f>
        <v>8421.34</v>
      </c>
      <c r="K42" s="12" t="s">
        <v>76</v>
      </c>
      <c r="L42" s="12" t="s">
        <v>54</v>
      </c>
      <c r="M42" s="12" t="s">
        <v>72</v>
      </c>
      <c r="N42" s="13" t="n">
        <v>4</v>
      </c>
    </row>
    <row r="43" customFormat="false" ht="15" hidden="false" customHeight="false" outlineLevel="0" collapsed="false">
      <c r="A43" s="12" t="s">
        <v>114</v>
      </c>
      <c r="B43" s="13" t="n">
        <v>101055</v>
      </c>
      <c r="C43" s="14" t="n">
        <v>46185</v>
      </c>
      <c r="D43" s="12" t="s">
        <v>74</v>
      </c>
      <c r="E43" s="12" t="s">
        <v>51</v>
      </c>
      <c r="F43" s="12" t="s">
        <v>89</v>
      </c>
      <c r="G43" s="13" t="n">
        <v>3</v>
      </c>
      <c r="H43" s="15" t="n">
        <v>10019.86</v>
      </c>
      <c r="I43" s="16" t="n">
        <v>0</v>
      </c>
      <c r="J43" s="17" t="n">
        <f aca="false">ROUND(H43*0.18,2)</f>
        <v>1803.57</v>
      </c>
      <c r="K43" s="12" t="s">
        <v>62</v>
      </c>
      <c r="L43" s="12" t="s">
        <v>54</v>
      </c>
      <c r="M43" s="12" t="s">
        <v>72</v>
      </c>
      <c r="N43" s="13" t="n">
        <v>1</v>
      </c>
    </row>
    <row r="44" customFormat="false" ht="15" hidden="false" customHeight="false" outlineLevel="0" collapsed="false">
      <c r="A44" s="12" t="s">
        <v>115</v>
      </c>
      <c r="B44" s="13" t="n">
        <v>102132</v>
      </c>
      <c r="C44" s="14" t="n">
        <v>45787</v>
      </c>
      <c r="D44" s="12" t="s">
        <v>65</v>
      </c>
      <c r="E44" s="12" t="s">
        <v>51</v>
      </c>
      <c r="F44" s="12" t="s">
        <v>59</v>
      </c>
      <c r="G44" s="13" t="n">
        <v>1</v>
      </c>
      <c r="H44" s="15" t="n">
        <v>33452.91</v>
      </c>
      <c r="I44" s="16" t="n">
        <v>0.15</v>
      </c>
      <c r="J44" s="17" t="n">
        <f aca="false">ROUND(H44*0.18,2)</f>
        <v>6021.52</v>
      </c>
      <c r="K44" s="12" t="s">
        <v>83</v>
      </c>
      <c r="L44" s="12" t="s">
        <v>54</v>
      </c>
      <c r="M44" s="12" t="s">
        <v>72</v>
      </c>
      <c r="N44" s="13" t="n">
        <v>2</v>
      </c>
    </row>
    <row r="45" customFormat="false" ht="15" hidden="false" customHeight="false" outlineLevel="0" collapsed="false">
      <c r="A45" s="12" t="s">
        <v>116</v>
      </c>
      <c r="B45" s="13" t="n">
        <v>102949</v>
      </c>
      <c r="C45" s="14" t="n">
        <v>46143</v>
      </c>
      <c r="D45" s="12" t="s">
        <v>61</v>
      </c>
      <c r="E45" s="12" t="s">
        <v>58</v>
      </c>
      <c r="F45" s="12" t="s">
        <v>52</v>
      </c>
      <c r="G45" s="13" t="n">
        <v>5</v>
      </c>
      <c r="H45" s="15" t="n">
        <v>36037.95</v>
      </c>
      <c r="I45" s="16" t="n">
        <v>0</v>
      </c>
      <c r="J45" s="17" t="n">
        <f aca="false">ROUND(H45*0.18,2)</f>
        <v>6486.83</v>
      </c>
      <c r="K45" s="12" t="s">
        <v>62</v>
      </c>
      <c r="L45" s="12" t="s">
        <v>54</v>
      </c>
      <c r="M45" s="12" t="s">
        <v>55</v>
      </c>
      <c r="N45" s="13" t="n">
        <v>3</v>
      </c>
    </row>
    <row r="46" customFormat="false" ht="15" hidden="false" customHeight="false" outlineLevel="0" collapsed="false">
      <c r="A46" s="12" t="s">
        <v>117</v>
      </c>
      <c r="B46" s="13" t="n">
        <v>100819</v>
      </c>
      <c r="C46" s="14" t="n">
        <v>46164</v>
      </c>
      <c r="D46" s="12" t="s">
        <v>57</v>
      </c>
      <c r="E46" s="12" t="s">
        <v>51</v>
      </c>
      <c r="F46" s="12" t="s">
        <v>81</v>
      </c>
      <c r="G46" s="13" t="n">
        <v>2</v>
      </c>
      <c r="H46" s="15" t="n">
        <v>5641.16</v>
      </c>
      <c r="I46" s="16" t="n">
        <v>0</v>
      </c>
      <c r="J46" s="17" t="n">
        <f aca="false">ROUND(H46*0.18,2)</f>
        <v>1015.41</v>
      </c>
      <c r="K46" s="12" t="s">
        <v>53</v>
      </c>
      <c r="L46" s="12" t="s">
        <v>54</v>
      </c>
      <c r="M46" s="12" t="s">
        <v>55</v>
      </c>
      <c r="N46" s="13" t="n">
        <v>4</v>
      </c>
    </row>
    <row r="47" customFormat="false" ht="15" hidden="false" customHeight="false" outlineLevel="0" collapsed="false">
      <c r="A47" s="12" t="s">
        <v>118</v>
      </c>
      <c r="B47" s="13" t="n">
        <v>104140</v>
      </c>
      <c r="C47" s="14" t="n">
        <v>46070</v>
      </c>
      <c r="D47" s="12" t="s">
        <v>57</v>
      </c>
      <c r="E47" s="12" t="s">
        <v>58</v>
      </c>
      <c r="F47" s="12" t="s">
        <v>81</v>
      </c>
      <c r="G47" s="13" t="n">
        <v>4</v>
      </c>
      <c r="H47" s="15" t="n">
        <v>18560.92</v>
      </c>
      <c r="I47" s="16" t="n">
        <v>0</v>
      </c>
      <c r="J47" s="17" t="n">
        <f aca="false">ROUND(H47*0.18,2)</f>
        <v>3340.97</v>
      </c>
      <c r="K47" s="12" t="s">
        <v>62</v>
      </c>
      <c r="L47" s="12" t="s">
        <v>54</v>
      </c>
      <c r="M47" s="12" t="s">
        <v>72</v>
      </c>
      <c r="N47" s="13" t="n">
        <v>3</v>
      </c>
    </row>
    <row r="48" customFormat="false" ht="15" hidden="false" customHeight="false" outlineLevel="0" collapsed="false">
      <c r="A48" s="12" t="s">
        <v>119</v>
      </c>
      <c r="B48" s="13" t="n">
        <v>103718</v>
      </c>
      <c r="C48" s="14" t="n">
        <v>45788</v>
      </c>
      <c r="D48" s="12" t="s">
        <v>61</v>
      </c>
      <c r="E48" s="12" t="s">
        <v>51</v>
      </c>
      <c r="F48" s="12" t="s">
        <v>66</v>
      </c>
      <c r="G48" s="13" t="n">
        <v>1</v>
      </c>
      <c r="H48" s="15" t="n">
        <v>12652.7</v>
      </c>
      <c r="I48" s="16" t="n">
        <v>0</v>
      </c>
      <c r="J48" s="17" t="n">
        <f aca="false">ROUND(H48*0.18,2)</f>
        <v>2277.49</v>
      </c>
      <c r="K48" s="12" t="s">
        <v>62</v>
      </c>
      <c r="L48" s="12" t="s">
        <v>54</v>
      </c>
      <c r="M48" s="12" t="s">
        <v>72</v>
      </c>
      <c r="N48" s="13" t="n">
        <v>2</v>
      </c>
    </row>
    <row r="49" customFormat="false" ht="15" hidden="false" customHeight="false" outlineLevel="0" collapsed="false">
      <c r="A49" s="12" t="s">
        <v>120</v>
      </c>
      <c r="B49" s="13" t="n">
        <v>102296</v>
      </c>
      <c r="C49" s="14" t="n">
        <v>45897</v>
      </c>
      <c r="D49" s="12" t="s">
        <v>57</v>
      </c>
      <c r="E49" s="12" t="s">
        <v>58</v>
      </c>
      <c r="F49" s="12" t="s">
        <v>52</v>
      </c>
      <c r="G49" s="13" t="n">
        <v>1</v>
      </c>
      <c r="H49" s="15" t="n">
        <v>30527.29</v>
      </c>
      <c r="I49" s="16" t="n">
        <v>0</v>
      </c>
      <c r="J49" s="17" t="n">
        <f aca="false">ROUND(H49*0.18,2)</f>
        <v>5494.91</v>
      </c>
      <c r="K49" s="12" t="s">
        <v>62</v>
      </c>
      <c r="L49" s="12" t="s">
        <v>54</v>
      </c>
      <c r="M49" s="12" t="s">
        <v>55</v>
      </c>
      <c r="N49" s="13" t="n">
        <v>3</v>
      </c>
    </row>
    <row r="50" customFormat="false" ht="15" hidden="false" customHeight="false" outlineLevel="0" collapsed="false">
      <c r="A50" s="12" t="s">
        <v>121</v>
      </c>
      <c r="B50" s="13" t="n">
        <v>104603</v>
      </c>
      <c r="C50" s="14" t="n">
        <v>45995</v>
      </c>
      <c r="D50" s="12" t="s">
        <v>74</v>
      </c>
      <c r="E50" s="12" t="s">
        <v>51</v>
      </c>
      <c r="F50" s="12" t="s">
        <v>66</v>
      </c>
      <c r="G50" s="13" t="n">
        <v>1</v>
      </c>
      <c r="H50" s="15" t="n">
        <v>22690.43</v>
      </c>
      <c r="I50" s="16" t="n">
        <v>0.1</v>
      </c>
      <c r="J50" s="17" t="n">
        <f aca="false">ROUND(H50*0.18,2)</f>
        <v>4084.28</v>
      </c>
      <c r="K50" s="12" t="s">
        <v>53</v>
      </c>
      <c r="L50" s="12" t="s">
        <v>54</v>
      </c>
      <c r="M50" s="12" t="s">
        <v>55</v>
      </c>
      <c r="N50" s="13" t="n">
        <v>5</v>
      </c>
    </row>
    <row r="51" customFormat="false" ht="15" hidden="false" customHeight="false" outlineLevel="0" collapsed="false">
      <c r="A51" s="12" t="s">
        <v>122</v>
      </c>
      <c r="B51" s="13" t="n">
        <v>102984</v>
      </c>
      <c r="C51" s="14" t="n">
        <v>45996</v>
      </c>
      <c r="D51" s="12" t="s">
        <v>65</v>
      </c>
      <c r="E51" s="12" t="s">
        <v>51</v>
      </c>
      <c r="F51" s="12" t="s">
        <v>81</v>
      </c>
      <c r="G51" s="13" t="n">
        <v>1</v>
      </c>
      <c r="H51" s="15" t="n">
        <v>12493.33</v>
      </c>
      <c r="I51" s="16" t="n">
        <v>0</v>
      </c>
      <c r="J51" s="17" t="n">
        <f aca="false">ROUND(H51*0.18,2)</f>
        <v>2248.8</v>
      </c>
      <c r="K51" s="12" t="s">
        <v>62</v>
      </c>
      <c r="L51" s="12" t="s">
        <v>71</v>
      </c>
      <c r="M51" s="12" t="s">
        <v>63</v>
      </c>
      <c r="N51" s="13" t="n">
        <v>2</v>
      </c>
    </row>
    <row r="52" customFormat="false" ht="15" hidden="false" customHeight="false" outlineLevel="0" collapsed="false">
      <c r="A52" s="12" t="s">
        <v>123</v>
      </c>
      <c r="B52" s="13" t="n">
        <v>103998</v>
      </c>
      <c r="C52" s="14" t="n">
        <v>46152</v>
      </c>
      <c r="D52" s="12" t="s">
        <v>57</v>
      </c>
      <c r="E52" s="12" t="s">
        <v>58</v>
      </c>
      <c r="F52" s="12" t="s">
        <v>89</v>
      </c>
      <c r="G52" s="13" t="n">
        <v>2</v>
      </c>
      <c r="H52" s="15" t="n">
        <v>46011.2</v>
      </c>
      <c r="I52" s="16" t="n">
        <v>0.1</v>
      </c>
      <c r="J52" s="17" t="n">
        <f aca="false">ROUND(H52*0.18,2)</f>
        <v>8282.02</v>
      </c>
      <c r="K52" s="12" t="s">
        <v>83</v>
      </c>
      <c r="L52" s="12" t="s">
        <v>54</v>
      </c>
      <c r="M52" s="12" t="s">
        <v>55</v>
      </c>
      <c r="N52" s="13" t="n">
        <v>2</v>
      </c>
    </row>
    <row r="53" customFormat="false" ht="15" hidden="false" customHeight="false" outlineLevel="0" collapsed="false">
      <c r="A53" s="12" t="s">
        <v>124</v>
      </c>
      <c r="B53" s="13" t="n">
        <v>101813</v>
      </c>
      <c r="C53" s="14" t="n">
        <v>46126</v>
      </c>
      <c r="D53" s="12" t="s">
        <v>68</v>
      </c>
      <c r="E53" s="12" t="s">
        <v>51</v>
      </c>
      <c r="F53" s="12" t="s">
        <v>52</v>
      </c>
      <c r="G53" s="13" t="n">
        <v>3</v>
      </c>
      <c r="H53" s="15" t="n">
        <v>2157</v>
      </c>
      <c r="I53" s="16" t="n">
        <v>0</v>
      </c>
      <c r="J53" s="17" t="n">
        <f aca="false">ROUND(H53*0.18,2)</f>
        <v>388.26</v>
      </c>
      <c r="K53" s="12" t="s">
        <v>76</v>
      </c>
      <c r="L53" s="12" t="s">
        <v>54</v>
      </c>
      <c r="M53" s="12" t="s">
        <v>55</v>
      </c>
      <c r="N53" s="13" t="n">
        <v>0</v>
      </c>
    </row>
    <row r="54" customFormat="false" ht="15" hidden="false" customHeight="false" outlineLevel="0" collapsed="false">
      <c r="A54" s="12" t="s">
        <v>125</v>
      </c>
      <c r="B54" s="13" t="n">
        <v>101897</v>
      </c>
      <c r="C54" s="14" t="n">
        <v>46132</v>
      </c>
      <c r="D54" s="12" t="s">
        <v>50</v>
      </c>
      <c r="E54" s="12" t="s">
        <v>51</v>
      </c>
      <c r="F54" s="12" t="s">
        <v>81</v>
      </c>
      <c r="G54" s="13" t="n">
        <v>3</v>
      </c>
      <c r="H54" s="15" t="n">
        <v>9583.49</v>
      </c>
      <c r="I54" s="16" t="n">
        <v>0</v>
      </c>
      <c r="J54" s="17" t="n">
        <f aca="false">ROUND(H54*0.18,2)</f>
        <v>1725.03</v>
      </c>
      <c r="K54" s="12" t="s">
        <v>53</v>
      </c>
      <c r="L54" s="12" t="s">
        <v>54</v>
      </c>
      <c r="M54" s="12" t="s">
        <v>55</v>
      </c>
      <c r="N54" s="13" t="n">
        <v>4</v>
      </c>
    </row>
    <row r="55" customFormat="false" ht="15" hidden="false" customHeight="false" outlineLevel="0" collapsed="false">
      <c r="A55" s="12" t="s">
        <v>126</v>
      </c>
      <c r="B55" s="13" t="n">
        <v>102319</v>
      </c>
      <c r="C55" s="14" t="n">
        <v>46087</v>
      </c>
      <c r="D55" s="12" t="s">
        <v>65</v>
      </c>
      <c r="E55" s="12" t="s">
        <v>58</v>
      </c>
      <c r="F55" s="12" t="s">
        <v>52</v>
      </c>
      <c r="G55" s="13" t="n">
        <v>5</v>
      </c>
      <c r="H55" s="15" t="n">
        <v>7013.41</v>
      </c>
      <c r="I55" s="16" t="n">
        <v>0</v>
      </c>
      <c r="J55" s="17" t="n">
        <f aca="false">ROUND(H55*0.18,2)</f>
        <v>1262.41</v>
      </c>
      <c r="K55" s="12" t="s">
        <v>53</v>
      </c>
      <c r="L55" s="12" t="s">
        <v>54</v>
      </c>
      <c r="M55" s="12" t="s">
        <v>55</v>
      </c>
      <c r="N55" s="13" t="n">
        <v>5</v>
      </c>
    </row>
    <row r="56" customFormat="false" ht="15" hidden="false" customHeight="false" outlineLevel="0" collapsed="false">
      <c r="A56" s="12" t="s">
        <v>127</v>
      </c>
      <c r="B56" s="13" t="n">
        <v>102703</v>
      </c>
      <c r="C56" s="14" t="n">
        <v>46149</v>
      </c>
      <c r="D56" s="12" t="s">
        <v>57</v>
      </c>
      <c r="E56" s="12" t="s">
        <v>51</v>
      </c>
      <c r="F56" s="12" t="s">
        <v>66</v>
      </c>
      <c r="G56" s="13" t="n">
        <v>3</v>
      </c>
      <c r="H56" s="15" t="n">
        <v>19683.43</v>
      </c>
      <c r="I56" s="16" t="n">
        <v>0</v>
      </c>
      <c r="J56" s="17" t="n">
        <f aca="false">ROUND(H56*0.18,2)</f>
        <v>3543.02</v>
      </c>
      <c r="K56" s="12" t="s">
        <v>53</v>
      </c>
      <c r="L56" s="12" t="s">
        <v>54</v>
      </c>
      <c r="M56" s="12" t="s">
        <v>63</v>
      </c>
      <c r="N56" s="13" t="n">
        <v>0</v>
      </c>
    </row>
    <row r="57" customFormat="false" ht="15" hidden="false" customHeight="false" outlineLevel="0" collapsed="false">
      <c r="A57" s="12" t="s">
        <v>128</v>
      </c>
      <c r="B57" s="13" t="n">
        <v>102179</v>
      </c>
      <c r="C57" s="14" t="n">
        <v>46135</v>
      </c>
      <c r="D57" s="12" t="s">
        <v>50</v>
      </c>
      <c r="E57" s="12" t="s">
        <v>51</v>
      </c>
      <c r="F57" s="12" t="s">
        <v>66</v>
      </c>
      <c r="G57" s="13" t="n">
        <v>5</v>
      </c>
      <c r="H57" s="15" t="n">
        <v>44721.57</v>
      </c>
      <c r="I57" s="16" t="n">
        <v>0.15</v>
      </c>
      <c r="J57" s="17" t="n">
        <f aca="false">ROUND(H57*0.18,2)</f>
        <v>8049.88</v>
      </c>
      <c r="K57" s="12" t="s">
        <v>53</v>
      </c>
      <c r="L57" s="12" t="s">
        <v>69</v>
      </c>
      <c r="M57" s="12" t="s">
        <v>72</v>
      </c>
      <c r="N57" s="13" t="n">
        <v>1</v>
      </c>
    </row>
    <row r="58" customFormat="false" ht="15" hidden="false" customHeight="false" outlineLevel="0" collapsed="false">
      <c r="A58" s="12" t="s">
        <v>129</v>
      </c>
      <c r="B58" s="13" t="n">
        <v>100628</v>
      </c>
      <c r="C58" s="14" t="n">
        <v>46179</v>
      </c>
      <c r="D58" s="12" t="s">
        <v>74</v>
      </c>
      <c r="E58" s="12" t="s">
        <v>51</v>
      </c>
      <c r="F58" s="12" t="s">
        <v>66</v>
      </c>
      <c r="G58" s="13" t="n">
        <v>4</v>
      </c>
      <c r="H58" s="15" t="n">
        <v>45043.75</v>
      </c>
      <c r="I58" s="16" t="n">
        <v>0.05</v>
      </c>
      <c r="J58" s="17" t="n">
        <f aca="false">ROUND(H58*0.18,2)</f>
        <v>8107.88</v>
      </c>
      <c r="K58" s="12" t="s">
        <v>83</v>
      </c>
      <c r="L58" s="12" t="s">
        <v>54</v>
      </c>
      <c r="M58" s="12" t="s">
        <v>55</v>
      </c>
      <c r="N58" s="13" t="n">
        <v>4</v>
      </c>
    </row>
    <row r="59" customFormat="false" ht="15" hidden="false" customHeight="false" outlineLevel="0" collapsed="false">
      <c r="A59" s="12" t="s">
        <v>130</v>
      </c>
      <c r="B59" s="13" t="n">
        <v>102882</v>
      </c>
      <c r="C59" s="14" t="n">
        <v>46026</v>
      </c>
      <c r="D59" s="12" t="s">
        <v>50</v>
      </c>
      <c r="E59" s="12" t="s">
        <v>58</v>
      </c>
      <c r="F59" s="12" t="s">
        <v>52</v>
      </c>
      <c r="G59" s="13" t="n">
        <v>2</v>
      </c>
      <c r="H59" s="15" t="n">
        <v>27520.82</v>
      </c>
      <c r="I59" s="16" t="n">
        <v>0.15</v>
      </c>
      <c r="J59" s="17" t="n">
        <f aca="false">ROUND(H59*0.18,2)</f>
        <v>4953.75</v>
      </c>
      <c r="K59" s="12" t="s">
        <v>62</v>
      </c>
      <c r="L59" s="12" t="s">
        <v>54</v>
      </c>
      <c r="M59" s="12" t="s">
        <v>55</v>
      </c>
      <c r="N59" s="13" t="n">
        <v>4</v>
      </c>
    </row>
    <row r="60" customFormat="false" ht="15" hidden="false" customHeight="false" outlineLevel="0" collapsed="false">
      <c r="A60" s="12" t="s">
        <v>131</v>
      </c>
      <c r="B60" s="13" t="n">
        <v>101859</v>
      </c>
      <c r="C60" s="14" t="n">
        <v>45687</v>
      </c>
      <c r="D60" s="12" t="s">
        <v>61</v>
      </c>
      <c r="E60" s="12" t="s">
        <v>58</v>
      </c>
      <c r="F60" s="12" t="s">
        <v>81</v>
      </c>
      <c r="G60" s="13" t="n">
        <v>4</v>
      </c>
      <c r="H60" s="15" t="n">
        <v>35123.13</v>
      </c>
      <c r="I60" s="16" t="n">
        <v>0.05</v>
      </c>
      <c r="J60" s="17" t="n">
        <f aca="false">ROUND(H60*0.18,2)</f>
        <v>6322.16</v>
      </c>
      <c r="K60" s="12" t="s">
        <v>76</v>
      </c>
      <c r="L60" s="12" t="s">
        <v>54</v>
      </c>
      <c r="M60" s="12" t="s">
        <v>55</v>
      </c>
      <c r="N60" s="13" t="n">
        <v>1</v>
      </c>
    </row>
    <row r="61" customFormat="false" ht="15" hidden="false" customHeight="false" outlineLevel="0" collapsed="false">
      <c r="A61" s="12" t="s">
        <v>132</v>
      </c>
      <c r="B61" s="13" t="n">
        <v>104102</v>
      </c>
      <c r="C61" s="14" t="n">
        <v>45797</v>
      </c>
      <c r="D61" s="12" t="s">
        <v>68</v>
      </c>
      <c r="E61" s="12" t="s">
        <v>51</v>
      </c>
      <c r="F61" s="12" t="s">
        <v>66</v>
      </c>
      <c r="G61" s="13" t="n">
        <v>3</v>
      </c>
      <c r="H61" s="15" t="n">
        <v>42937.22</v>
      </c>
      <c r="I61" s="16" t="n">
        <v>0.1</v>
      </c>
      <c r="J61" s="17" t="n">
        <f aca="false">ROUND(H61*0.18,2)</f>
        <v>7728.7</v>
      </c>
      <c r="K61" s="12" t="s">
        <v>53</v>
      </c>
      <c r="L61" s="12" t="s">
        <v>54</v>
      </c>
      <c r="M61" s="12" t="s">
        <v>55</v>
      </c>
      <c r="N61" s="13" t="n">
        <v>4</v>
      </c>
    </row>
    <row r="62" customFormat="false" ht="15" hidden="false" customHeight="false" outlineLevel="0" collapsed="false">
      <c r="A62" s="12" t="s">
        <v>133</v>
      </c>
      <c r="B62" s="13" t="n">
        <v>104616</v>
      </c>
      <c r="C62" s="14" t="n">
        <v>45814</v>
      </c>
      <c r="D62" s="12" t="s">
        <v>74</v>
      </c>
      <c r="E62" s="12" t="s">
        <v>58</v>
      </c>
      <c r="F62" s="12" t="s">
        <v>81</v>
      </c>
      <c r="G62" s="13" t="n">
        <v>5</v>
      </c>
      <c r="H62" s="15" t="n">
        <v>9377.21</v>
      </c>
      <c r="I62" s="16" t="n">
        <v>0</v>
      </c>
      <c r="J62" s="17" t="n">
        <f aca="false">ROUND(H62*0.18,2)</f>
        <v>1687.9</v>
      </c>
      <c r="K62" s="12" t="s">
        <v>83</v>
      </c>
      <c r="L62" s="12" t="s">
        <v>54</v>
      </c>
      <c r="M62" s="12" t="s">
        <v>72</v>
      </c>
      <c r="N62" s="13" t="n">
        <v>2</v>
      </c>
    </row>
    <row r="63" customFormat="false" ht="15" hidden="false" customHeight="false" outlineLevel="0" collapsed="false">
      <c r="A63" s="12" t="s">
        <v>134</v>
      </c>
      <c r="B63" s="13" t="n">
        <v>104526</v>
      </c>
      <c r="C63" s="14" t="n">
        <v>46023</v>
      </c>
      <c r="D63" s="12" t="s">
        <v>50</v>
      </c>
      <c r="E63" s="12" t="s">
        <v>51</v>
      </c>
      <c r="F63" s="12" t="s">
        <v>81</v>
      </c>
      <c r="G63" s="13" t="n">
        <v>2</v>
      </c>
      <c r="H63" s="15" t="n">
        <v>8688.35</v>
      </c>
      <c r="I63" s="16" t="n">
        <v>0.1</v>
      </c>
      <c r="J63" s="17" t="n">
        <f aca="false">ROUND(H63*0.18,2)</f>
        <v>1563.9</v>
      </c>
      <c r="K63" s="12" t="s">
        <v>83</v>
      </c>
      <c r="L63" s="12" t="s">
        <v>54</v>
      </c>
      <c r="M63" s="12" t="s">
        <v>63</v>
      </c>
      <c r="N63" s="13" t="n">
        <v>5</v>
      </c>
    </row>
    <row r="64" customFormat="false" ht="15" hidden="false" customHeight="false" outlineLevel="0" collapsed="false">
      <c r="A64" s="12" t="s">
        <v>135</v>
      </c>
      <c r="B64" s="13" t="n">
        <v>104111</v>
      </c>
      <c r="C64" s="14" t="n">
        <v>45687</v>
      </c>
      <c r="D64" s="12" t="s">
        <v>57</v>
      </c>
      <c r="E64" s="12" t="s">
        <v>58</v>
      </c>
      <c r="F64" s="12" t="s">
        <v>52</v>
      </c>
      <c r="G64" s="13" t="n">
        <v>3</v>
      </c>
      <c r="H64" s="15" t="n">
        <v>23468.75</v>
      </c>
      <c r="I64" s="16" t="n">
        <v>0.05</v>
      </c>
      <c r="J64" s="17" t="n">
        <f aca="false">ROUND(H64*0.18,2)</f>
        <v>4224.38</v>
      </c>
      <c r="K64" s="12" t="s">
        <v>83</v>
      </c>
      <c r="L64" s="12" t="s">
        <v>54</v>
      </c>
      <c r="M64" s="12" t="s">
        <v>72</v>
      </c>
      <c r="N64" s="13" t="n">
        <v>5</v>
      </c>
    </row>
    <row r="65" customFormat="false" ht="15" hidden="false" customHeight="false" outlineLevel="0" collapsed="false">
      <c r="A65" s="12" t="s">
        <v>136</v>
      </c>
      <c r="B65" s="13" t="n">
        <v>102758</v>
      </c>
      <c r="C65" s="14" t="n">
        <v>45807</v>
      </c>
      <c r="D65" s="12" t="s">
        <v>74</v>
      </c>
      <c r="E65" s="12" t="s">
        <v>51</v>
      </c>
      <c r="F65" s="12" t="s">
        <v>89</v>
      </c>
      <c r="G65" s="13" t="n">
        <v>4</v>
      </c>
      <c r="H65" s="15" t="n">
        <v>9539.96</v>
      </c>
      <c r="I65" s="16" t="n">
        <v>0</v>
      </c>
      <c r="J65" s="17" t="n">
        <f aca="false">ROUND(H65*0.18,2)</f>
        <v>1717.19</v>
      </c>
      <c r="K65" s="12" t="s">
        <v>83</v>
      </c>
      <c r="L65" s="12" t="s">
        <v>54</v>
      </c>
      <c r="M65" s="12" t="s">
        <v>63</v>
      </c>
      <c r="N65" s="13" t="n">
        <v>2</v>
      </c>
    </row>
    <row r="66" customFormat="false" ht="15" hidden="false" customHeight="false" outlineLevel="0" collapsed="false">
      <c r="A66" s="12" t="s">
        <v>137</v>
      </c>
      <c r="B66" s="13" t="n">
        <v>100330</v>
      </c>
      <c r="C66" s="14" t="n">
        <v>45825</v>
      </c>
      <c r="D66" s="12" t="s">
        <v>68</v>
      </c>
      <c r="E66" s="12" t="s">
        <v>58</v>
      </c>
      <c r="F66" s="12" t="s">
        <v>89</v>
      </c>
      <c r="G66" s="13" t="n">
        <v>4</v>
      </c>
      <c r="H66" s="15" t="n">
        <v>18887.92</v>
      </c>
      <c r="I66" s="16" t="n">
        <v>0.1</v>
      </c>
      <c r="J66" s="17" t="n">
        <f aca="false">ROUND(H66*0.18,2)</f>
        <v>3399.83</v>
      </c>
      <c r="K66" s="12" t="s">
        <v>53</v>
      </c>
      <c r="L66" s="12" t="s">
        <v>54</v>
      </c>
      <c r="M66" s="12" t="s">
        <v>63</v>
      </c>
      <c r="N66" s="13" t="n">
        <v>1</v>
      </c>
    </row>
    <row r="67" customFormat="false" ht="15" hidden="false" customHeight="false" outlineLevel="0" collapsed="false">
      <c r="A67" s="12" t="s">
        <v>138</v>
      </c>
      <c r="B67" s="13" t="n">
        <v>104151</v>
      </c>
      <c r="C67" s="14" t="n">
        <v>45875</v>
      </c>
      <c r="D67" s="12" t="s">
        <v>57</v>
      </c>
      <c r="E67" s="12" t="s">
        <v>58</v>
      </c>
      <c r="F67" s="12" t="s">
        <v>52</v>
      </c>
      <c r="G67" s="13" t="n">
        <v>4</v>
      </c>
      <c r="H67" s="15" t="n">
        <v>13286.33</v>
      </c>
      <c r="I67" s="16" t="n">
        <v>0.1</v>
      </c>
      <c r="J67" s="17" t="n">
        <f aca="false">ROUND(H67*0.18,2)</f>
        <v>2391.54</v>
      </c>
      <c r="K67" s="12" t="s">
        <v>53</v>
      </c>
      <c r="L67" s="12" t="s">
        <v>54</v>
      </c>
      <c r="M67" s="12" t="s">
        <v>72</v>
      </c>
      <c r="N67" s="13" t="n">
        <v>2</v>
      </c>
    </row>
    <row r="68" customFormat="false" ht="15" hidden="false" customHeight="false" outlineLevel="0" collapsed="false">
      <c r="A68" s="12" t="s">
        <v>139</v>
      </c>
      <c r="B68" s="13" t="n">
        <v>103708</v>
      </c>
      <c r="C68" s="14" t="n">
        <v>46151</v>
      </c>
      <c r="D68" s="12" t="s">
        <v>65</v>
      </c>
      <c r="E68" s="12" t="s">
        <v>58</v>
      </c>
      <c r="F68" s="12" t="s">
        <v>81</v>
      </c>
      <c r="G68" s="13" t="n">
        <v>1</v>
      </c>
      <c r="H68" s="15" t="n">
        <v>53301.56</v>
      </c>
      <c r="I68" s="16" t="n">
        <v>0.15</v>
      </c>
      <c r="J68" s="17" t="n">
        <f aca="false">ROUND(H68*0.18,2)</f>
        <v>9594.28</v>
      </c>
      <c r="K68" s="12" t="s">
        <v>83</v>
      </c>
      <c r="L68" s="12" t="s">
        <v>54</v>
      </c>
      <c r="M68" s="12" t="s">
        <v>72</v>
      </c>
      <c r="N68" s="13" t="n">
        <v>5</v>
      </c>
    </row>
    <row r="69" customFormat="false" ht="15" hidden="false" customHeight="false" outlineLevel="0" collapsed="false">
      <c r="A69" s="12" t="s">
        <v>140</v>
      </c>
      <c r="B69" s="13" t="n">
        <v>101767</v>
      </c>
      <c r="C69" s="14" t="n">
        <v>46101</v>
      </c>
      <c r="D69" s="12" t="s">
        <v>50</v>
      </c>
      <c r="E69" s="12" t="s">
        <v>51</v>
      </c>
      <c r="F69" s="12" t="s">
        <v>89</v>
      </c>
      <c r="G69" s="13" t="n">
        <v>5</v>
      </c>
      <c r="H69" s="15" t="n">
        <v>7394.91</v>
      </c>
      <c r="I69" s="16" t="n">
        <v>0</v>
      </c>
      <c r="J69" s="17" t="n">
        <f aca="false">ROUND(H69*0.18,2)</f>
        <v>1331.08</v>
      </c>
      <c r="K69" s="12" t="s">
        <v>62</v>
      </c>
      <c r="L69" s="12" t="s">
        <v>54</v>
      </c>
      <c r="M69" s="12" t="s">
        <v>72</v>
      </c>
      <c r="N69" s="13" t="n">
        <v>5</v>
      </c>
    </row>
    <row r="70" customFormat="false" ht="15" hidden="false" customHeight="false" outlineLevel="0" collapsed="false">
      <c r="A70" s="12" t="s">
        <v>141</v>
      </c>
      <c r="B70" s="13" t="n">
        <v>104004</v>
      </c>
      <c r="C70" s="14" t="n">
        <v>46191</v>
      </c>
      <c r="D70" s="12" t="s">
        <v>61</v>
      </c>
      <c r="E70" s="12" t="s">
        <v>51</v>
      </c>
      <c r="F70" s="12" t="s">
        <v>66</v>
      </c>
      <c r="G70" s="13" t="n">
        <v>4</v>
      </c>
      <c r="H70" s="15" t="n">
        <v>22628.64</v>
      </c>
      <c r="I70" s="16" t="n">
        <v>0</v>
      </c>
      <c r="J70" s="17" t="n">
        <f aca="false">ROUND(H70*0.18,2)</f>
        <v>4073.16</v>
      </c>
      <c r="K70" s="12" t="s">
        <v>83</v>
      </c>
      <c r="L70" s="12" t="s">
        <v>54</v>
      </c>
      <c r="M70" s="12" t="s">
        <v>63</v>
      </c>
      <c r="N70" s="13" t="n">
        <v>4</v>
      </c>
    </row>
    <row r="71" customFormat="false" ht="15" hidden="false" customHeight="false" outlineLevel="0" collapsed="false">
      <c r="A71" s="12" t="s">
        <v>142</v>
      </c>
      <c r="B71" s="13" t="n">
        <v>103835</v>
      </c>
      <c r="C71" s="14" t="n">
        <v>46044</v>
      </c>
      <c r="D71" s="12" t="s">
        <v>68</v>
      </c>
      <c r="E71" s="12" t="s">
        <v>51</v>
      </c>
      <c r="F71" s="12" t="s">
        <v>52</v>
      </c>
      <c r="G71" s="13" t="n">
        <v>1</v>
      </c>
      <c r="H71" s="15" t="n">
        <v>53368.32</v>
      </c>
      <c r="I71" s="16" t="n">
        <v>0.1</v>
      </c>
      <c r="J71" s="17" t="n">
        <f aca="false">ROUND(H71*0.18,2)</f>
        <v>9606.3</v>
      </c>
      <c r="K71" s="12" t="s">
        <v>62</v>
      </c>
      <c r="L71" s="12" t="s">
        <v>54</v>
      </c>
      <c r="M71" s="12" t="s">
        <v>72</v>
      </c>
      <c r="N71" s="13" t="n">
        <v>5</v>
      </c>
    </row>
    <row r="72" customFormat="false" ht="15" hidden="false" customHeight="false" outlineLevel="0" collapsed="false">
      <c r="A72" s="12" t="s">
        <v>143</v>
      </c>
      <c r="B72" s="13" t="n">
        <v>102933</v>
      </c>
      <c r="C72" s="14" t="n">
        <v>46196</v>
      </c>
      <c r="D72" s="12" t="s">
        <v>68</v>
      </c>
      <c r="E72" s="12" t="s">
        <v>58</v>
      </c>
      <c r="F72" s="12" t="s">
        <v>66</v>
      </c>
      <c r="G72" s="13" t="n">
        <v>3</v>
      </c>
      <c r="H72" s="15" t="n">
        <v>26001.16</v>
      </c>
      <c r="I72" s="16" t="n">
        <v>0</v>
      </c>
      <c r="J72" s="17" t="n">
        <f aca="false">ROUND(H72*0.18,2)</f>
        <v>4680.21</v>
      </c>
      <c r="K72" s="12" t="s">
        <v>83</v>
      </c>
      <c r="L72" s="12" t="s">
        <v>54</v>
      </c>
      <c r="M72" s="12" t="s">
        <v>55</v>
      </c>
      <c r="N72" s="13" t="n">
        <v>0</v>
      </c>
    </row>
    <row r="73" customFormat="false" ht="15" hidden="false" customHeight="false" outlineLevel="0" collapsed="false">
      <c r="A73" s="12" t="s">
        <v>144</v>
      </c>
      <c r="B73" s="13" t="n">
        <v>103806</v>
      </c>
      <c r="C73" s="14" t="n">
        <v>45769</v>
      </c>
      <c r="D73" s="12" t="s">
        <v>61</v>
      </c>
      <c r="E73" s="12" t="s">
        <v>51</v>
      </c>
      <c r="F73" s="12" t="s">
        <v>52</v>
      </c>
      <c r="G73" s="13" t="n">
        <v>4</v>
      </c>
      <c r="H73" s="15" t="n">
        <v>29586.9</v>
      </c>
      <c r="I73" s="16" t="n">
        <v>0.05</v>
      </c>
      <c r="J73" s="17" t="n">
        <f aca="false">ROUND(H73*0.18,2)</f>
        <v>5325.64</v>
      </c>
      <c r="K73" s="12" t="s">
        <v>53</v>
      </c>
      <c r="L73" s="12" t="s">
        <v>54</v>
      </c>
      <c r="M73" s="12" t="s">
        <v>55</v>
      </c>
      <c r="N73" s="13" t="n">
        <v>0</v>
      </c>
    </row>
    <row r="74" customFormat="false" ht="15" hidden="false" customHeight="false" outlineLevel="0" collapsed="false">
      <c r="A74" s="12" t="s">
        <v>145</v>
      </c>
      <c r="B74" s="13" t="n">
        <v>101200</v>
      </c>
      <c r="C74" s="14" t="n">
        <v>45685</v>
      </c>
      <c r="D74" s="12" t="s">
        <v>65</v>
      </c>
      <c r="E74" s="12" t="s">
        <v>51</v>
      </c>
      <c r="F74" s="12" t="s">
        <v>89</v>
      </c>
      <c r="G74" s="13" t="n">
        <v>2</v>
      </c>
      <c r="H74" s="15" t="n">
        <v>49521.8</v>
      </c>
      <c r="I74" s="16" t="n">
        <v>0.05</v>
      </c>
      <c r="J74" s="17" t="n">
        <f aca="false">ROUND(H74*0.18,2)</f>
        <v>8913.92</v>
      </c>
      <c r="K74" s="12" t="s">
        <v>62</v>
      </c>
      <c r="L74" s="12" t="s">
        <v>54</v>
      </c>
      <c r="M74" s="12" t="s">
        <v>63</v>
      </c>
      <c r="N74" s="13" t="n">
        <v>0</v>
      </c>
    </row>
    <row r="75" customFormat="false" ht="15" hidden="false" customHeight="false" outlineLevel="0" collapsed="false">
      <c r="A75" s="12" t="s">
        <v>146</v>
      </c>
      <c r="B75" s="13" t="n">
        <v>104366</v>
      </c>
      <c r="C75" s="14" t="n">
        <v>45780</v>
      </c>
      <c r="D75" s="12" t="s">
        <v>74</v>
      </c>
      <c r="E75" s="12" t="s">
        <v>51</v>
      </c>
      <c r="F75" s="12" t="s">
        <v>81</v>
      </c>
      <c r="G75" s="13" t="n">
        <v>3</v>
      </c>
      <c r="H75" s="15" t="n">
        <v>41688.75</v>
      </c>
      <c r="I75" s="16" t="n">
        <v>0.05</v>
      </c>
      <c r="J75" s="17" t="n">
        <f aca="false">ROUND(H75*0.18,2)</f>
        <v>7503.98</v>
      </c>
      <c r="K75" s="12" t="s">
        <v>76</v>
      </c>
      <c r="L75" s="12" t="s">
        <v>54</v>
      </c>
      <c r="M75" s="12" t="s">
        <v>72</v>
      </c>
      <c r="N75" s="13" t="n">
        <v>5</v>
      </c>
    </row>
    <row r="76" customFormat="false" ht="15" hidden="false" customHeight="false" outlineLevel="0" collapsed="false">
      <c r="A76" s="12" t="s">
        <v>147</v>
      </c>
      <c r="B76" s="13" t="n">
        <v>103377</v>
      </c>
      <c r="C76" s="14" t="n">
        <v>45902</v>
      </c>
      <c r="D76" s="12" t="s">
        <v>68</v>
      </c>
      <c r="E76" s="12" t="s">
        <v>51</v>
      </c>
      <c r="F76" s="12" t="s">
        <v>59</v>
      </c>
      <c r="G76" s="13" t="n">
        <v>1</v>
      </c>
      <c r="H76" s="15" t="n">
        <v>-38346.48</v>
      </c>
      <c r="I76" s="16" t="n">
        <v>0.05</v>
      </c>
      <c r="J76" s="17" t="n">
        <f aca="false">ROUND(H76*0.18,2)</f>
        <v>-6902.37</v>
      </c>
      <c r="K76" s="12" t="s">
        <v>76</v>
      </c>
      <c r="L76" s="12" t="s">
        <v>78</v>
      </c>
      <c r="M76" s="12" t="s">
        <v>55</v>
      </c>
      <c r="N76" s="13" t="n">
        <v>1</v>
      </c>
    </row>
    <row r="77" customFormat="false" ht="15" hidden="false" customHeight="false" outlineLevel="0" collapsed="false">
      <c r="A77" s="12" t="s">
        <v>148</v>
      </c>
      <c r="B77" s="13" t="n">
        <v>101031</v>
      </c>
      <c r="C77" s="14" t="n">
        <v>46145</v>
      </c>
      <c r="D77" s="12" t="s">
        <v>68</v>
      </c>
      <c r="E77" s="12" t="s">
        <v>51</v>
      </c>
      <c r="F77" s="12" t="s">
        <v>59</v>
      </c>
      <c r="G77" s="13" t="n">
        <v>5</v>
      </c>
      <c r="H77" s="15" t="n">
        <v>-11346.85</v>
      </c>
      <c r="I77" s="16" t="n">
        <v>0</v>
      </c>
      <c r="J77" s="17" t="n">
        <f aca="false">ROUND(H77*0.18,2)</f>
        <v>-2042.43</v>
      </c>
      <c r="K77" s="12" t="s">
        <v>53</v>
      </c>
      <c r="L77" s="12" t="s">
        <v>78</v>
      </c>
      <c r="M77" s="12" t="s">
        <v>63</v>
      </c>
      <c r="N77" s="13" t="n">
        <v>3</v>
      </c>
    </row>
    <row r="78" customFormat="false" ht="15" hidden="false" customHeight="false" outlineLevel="0" collapsed="false">
      <c r="A78" s="12" t="s">
        <v>149</v>
      </c>
      <c r="B78" s="13" t="n">
        <v>101249</v>
      </c>
      <c r="C78" s="14" t="n">
        <v>45959</v>
      </c>
      <c r="D78" s="12" t="s">
        <v>50</v>
      </c>
      <c r="E78" s="12" t="s">
        <v>51</v>
      </c>
      <c r="F78" s="12" t="s">
        <v>66</v>
      </c>
      <c r="G78" s="13" t="n">
        <v>3</v>
      </c>
      <c r="H78" s="15" t="n">
        <v>29689.11</v>
      </c>
      <c r="I78" s="16" t="n">
        <v>0.15</v>
      </c>
      <c r="J78" s="17" t="n">
        <f aca="false">ROUND(H78*0.18,2)</f>
        <v>5344.04</v>
      </c>
      <c r="K78" s="12" t="s">
        <v>53</v>
      </c>
      <c r="L78" s="12" t="s">
        <v>54</v>
      </c>
      <c r="M78" s="12" t="s">
        <v>55</v>
      </c>
      <c r="N78" s="13" t="n">
        <v>4</v>
      </c>
    </row>
    <row r="79" customFormat="false" ht="15" hidden="false" customHeight="false" outlineLevel="0" collapsed="false">
      <c r="A79" s="12" t="s">
        <v>150</v>
      </c>
      <c r="B79" s="13" t="n">
        <v>104359</v>
      </c>
      <c r="C79" s="14" t="n">
        <v>45828</v>
      </c>
      <c r="D79" s="12" t="s">
        <v>68</v>
      </c>
      <c r="E79" s="12" t="s">
        <v>58</v>
      </c>
      <c r="F79" s="12" t="s">
        <v>52</v>
      </c>
      <c r="G79" s="13" t="n">
        <v>3</v>
      </c>
      <c r="H79" s="15" t="n">
        <v>20216.67</v>
      </c>
      <c r="I79" s="16" t="n">
        <v>0.15</v>
      </c>
      <c r="J79" s="17" t="n">
        <f aca="false">ROUND(H79*0.18,2)</f>
        <v>3639</v>
      </c>
      <c r="K79" s="12" t="s">
        <v>76</v>
      </c>
      <c r="L79" s="12" t="s">
        <v>54</v>
      </c>
      <c r="M79" s="12" t="s">
        <v>55</v>
      </c>
      <c r="N79" s="13" t="n">
        <v>0</v>
      </c>
    </row>
    <row r="80" customFormat="false" ht="15" hidden="false" customHeight="false" outlineLevel="0" collapsed="false">
      <c r="A80" s="12" t="s">
        <v>151</v>
      </c>
      <c r="B80" s="13" t="n">
        <v>101009</v>
      </c>
      <c r="C80" s="14" t="n">
        <v>45766</v>
      </c>
      <c r="D80" s="12" t="s">
        <v>61</v>
      </c>
      <c r="E80" s="12" t="s">
        <v>51</v>
      </c>
      <c r="F80" s="12" t="s">
        <v>89</v>
      </c>
      <c r="G80" s="13" t="n">
        <v>2</v>
      </c>
      <c r="H80" s="15" t="n">
        <v>25802.04</v>
      </c>
      <c r="I80" s="16" t="n">
        <v>0</v>
      </c>
      <c r="J80" s="17" t="n">
        <f aca="false">ROUND(H80*0.18,2)</f>
        <v>4644.37</v>
      </c>
      <c r="K80" s="12" t="s">
        <v>83</v>
      </c>
      <c r="L80" s="12" t="s">
        <v>54</v>
      </c>
      <c r="M80" s="12" t="s">
        <v>72</v>
      </c>
      <c r="N80" s="13" t="n">
        <v>1</v>
      </c>
    </row>
    <row r="81" customFormat="false" ht="15" hidden="false" customHeight="false" outlineLevel="0" collapsed="false">
      <c r="A81" s="12" t="s">
        <v>152</v>
      </c>
      <c r="B81" s="13" t="n">
        <v>103165</v>
      </c>
      <c r="C81" s="14" t="n">
        <v>45744</v>
      </c>
      <c r="D81" s="12" t="s">
        <v>57</v>
      </c>
      <c r="E81" s="12" t="s">
        <v>58</v>
      </c>
      <c r="F81" s="12" t="s">
        <v>89</v>
      </c>
      <c r="G81" s="13" t="n">
        <v>2</v>
      </c>
      <c r="H81" s="15" t="n">
        <v>15531.74</v>
      </c>
      <c r="I81" s="16" t="n">
        <v>0.1</v>
      </c>
      <c r="J81" s="17" t="n">
        <f aca="false">ROUND(H81*0.18,2)</f>
        <v>2795.71</v>
      </c>
      <c r="K81" s="12" t="s">
        <v>83</v>
      </c>
      <c r="L81" s="12" t="s">
        <v>71</v>
      </c>
      <c r="M81" s="12" t="s">
        <v>72</v>
      </c>
      <c r="N81" s="13" t="n">
        <v>4</v>
      </c>
    </row>
    <row r="82" customFormat="false" ht="15" hidden="false" customHeight="false" outlineLevel="0" collapsed="false">
      <c r="A82" s="12" t="s">
        <v>153</v>
      </c>
      <c r="B82" s="13" t="n">
        <v>103925</v>
      </c>
      <c r="C82" s="14" t="n">
        <v>46185</v>
      </c>
      <c r="D82" s="12" t="s">
        <v>74</v>
      </c>
      <c r="E82" s="12" t="s">
        <v>58</v>
      </c>
      <c r="F82" s="12" t="s">
        <v>81</v>
      </c>
      <c r="G82" s="13" t="n">
        <v>4</v>
      </c>
      <c r="H82" s="15" t="n">
        <v>20334.99</v>
      </c>
      <c r="I82" s="16" t="n">
        <v>0</v>
      </c>
      <c r="J82" s="17" t="n">
        <f aca="false">ROUND(H82*0.18,2)</f>
        <v>3660.3</v>
      </c>
      <c r="K82" s="12" t="s">
        <v>62</v>
      </c>
      <c r="L82" s="12" t="s">
        <v>54</v>
      </c>
      <c r="M82" s="12" t="s">
        <v>63</v>
      </c>
      <c r="N82" s="13" t="n">
        <v>1</v>
      </c>
    </row>
    <row r="83" customFormat="false" ht="15" hidden="false" customHeight="false" outlineLevel="0" collapsed="false">
      <c r="A83" s="12" t="s">
        <v>154</v>
      </c>
      <c r="B83" s="13" t="n">
        <v>100159</v>
      </c>
      <c r="C83" s="14" t="n">
        <v>45951</v>
      </c>
      <c r="D83" s="12" t="s">
        <v>68</v>
      </c>
      <c r="E83" s="12" t="s">
        <v>51</v>
      </c>
      <c r="F83" s="12" t="s">
        <v>89</v>
      </c>
      <c r="G83" s="13" t="n">
        <v>4</v>
      </c>
      <c r="H83" s="15" t="n">
        <v>16216.8</v>
      </c>
      <c r="I83" s="16" t="n">
        <v>0</v>
      </c>
      <c r="J83" s="17" t="n">
        <f aca="false">ROUND(H83*0.18,2)</f>
        <v>2919.02</v>
      </c>
      <c r="K83" s="12" t="s">
        <v>83</v>
      </c>
      <c r="L83" s="12" t="s">
        <v>54</v>
      </c>
      <c r="M83" s="12" t="s">
        <v>55</v>
      </c>
      <c r="N83" s="13" t="n">
        <v>5</v>
      </c>
    </row>
    <row r="84" customFormat="false" ht="15" hidden="false" customHeight="false" outlineLevel="0" collapsed="false">
      <c r="A84" s="12" t="s">
        <v>155</v>
      </c>
      <c r="B84" s="13" t="n">
        <v>104332</v>
      </c>
      <c r="C84" s="14" t="n">
        <v>45901</v>
      </c>
      <c r="D84" s="12" t="s">
        <v>61</v>
      </c>
      <c r="E84" s="12" t="s">
        <v>58</v>
      </c>
      <c r="F84" s="12" t="s">
        <v>52</v>
      </c>
      <c r="G84" s="13" t="n">
        <v>3</v>
      </c>
      <c r="H84" s="15" t="n">
        <v>30653.01</v>
      </c>
      <c r="I84" s="16" t="n">
        <v>0</v>
      </c>
      <c r="J84" s="17" t="n">
        <f aca="false">ROUND(H84*0.18,2)</f>
        <v>5517.54</v>
      </c>
      <c r="K84" s="12" t="s">
        <v>53</v>
      </c>
      <c r="L84" s="12" t="s">
        <v>54</v>
      </c>
      <c r="M84" s="12" t="s">
        <v>72</v>
      </c>
      <c r="N84" s="13" t="n">
        <v>0</v>
      </c>
    </row>
    <row r="85" customFormat="false" ht="15" hidden="false" customHeight="false" outlineLevel="0" collapsed="false">
      <c r="A85" s="12" t="s">
        <v>156</v>
      </c>
      <c r="B85" s="13" t="n">
        <v>103487</v>
      </c>
      <c r="C85" s="14" t="n">
        <v>46053</v>
      </c>
      <c r="D85" s="12" t="s">
        <v>68</v>
      </c>
      <c r="E85" s="12" t="s">
        <v>58</v>
      </c>
      <c r="F85" s="12" t="s">
        <v>59</v>
      </c>
      <c r="G85" s="13" t="n">
        <v>5</v>
      </c>
      <c r="H85" s="15" t="n">
        <v>2891.67</v>
      </c>
      <c r="I85" s="16" t="n">
        <v>0</v>
      </c>
      <c r="J85" s="17" t="n">
        <f aca="false">ROUND(H85*0.18,2)</f>
        <v>520.5</v>
      </c>
      <c r="K85" s="12" t="s">
        <v>76</v>
      </c>
      <c r="L85" s="12" t="s">
        <v>54</v>
      </c>
      <c r="M85" s="12" t="s">
        <v>63</v>
      </c>
      <c r="N85" s="13" t="n">
        <v>1</v>
      </c>
    </row>
    <row r="86" customFormat="false" ht="15" hidden="false" customHeight="false" outlineLevel="0" collapsed="false">
      <c r="A86" s="12" t="s">
        <v>157</v>
      </c>
      <c r="B86" s="13" t="n">
        <v>102861</v>
      </c>
      <c r="C86" s="14" t="n">
        <v>46067</v>
      </c>
      <c r="D86" s="12" t="s">
        <v>57</v>
      </c>
      <c r="E86" s="12" t="s">
        <v>51</v>
      </c>
      <c r="F86" s="12" t="s">
        <v>81</v>
      </c>
      <c r="G86" s="13" t="n">
        <v>4</v>
      </c>
      <c r="H86" s="15" t="n">
        <v>28360.8</v>
      </c>
      <c r="I86" s="16" t="n">
        <v>0</v>
      </c>
      <c r="J86" s="17" t="n">
        <f aca="false">ROUND(H86*0.18,2)</f>
        <v>5104.94</v>
      </c>
      <c r="K86" s="12" t="s">
        <v>83</v>
      </c>
      <c r="L86" s="12" t="s">
        <v>54</v>
      </c>
      <c r="M86" s="12" t="s">
        <v>72</v>
      </c>
      <c r="N86" s="13" t="n">
        <v>0</v>
      </c>
    </row>
    <row r="87" customFormat="false" ht="15" hidden="false" customHeight="false" outlineLevel="0" collapsed="false">
      <c r="A87" s="12" t="s">
        <v>158</v>
      </c>
      <c r="B87" s="13" t="n">
        <v>104743</v>
      </c>
      <c r="C87" s="14" t="n">
        <v>46187</v>
      </c>
      <c r="D87" s="12" t="s">
        <v>50</v>
      </c>
      <c r="E87" s="12" t="s">
        <v>51</v>
      </c>
      <c r="F87" s="12" t="s">
        <v>81</v>
      </c>
      <c r="G87" s="13" t="n">
        <v>3</v>
      </c>
      <c r="H87" s="15" t="n">
        <v>53976.12</v>
      </c>
      <c r="I87" s="16" t="n">
        <v>0</v>
      </c>
      <c r="J87" s="17" t="n">
        <f aca="false">ROUND(H87*0.18,2)</f>
        <v>9715.7</v>
      </c>
      <c r="K87" s="12" t="s">
        <v>53</v>
      </c>
      <c r="L87" s="12" t="s">
        <v>54</v>
      </c>
      <c r="M87" s="12" t="s">
        <v>55</v>
      </c>
      <c r="N87" s="13" t="n">
        <v>0</v>
      </c>
    </row>
    <row r="88" customFormat="false" ht="15" hidden="false" customHeight="false" outlineLevel="0" collapsed="false">
      <c r="A88" s="12" t="s">
        <v>159</v>
      </c>
      <c r="B88" s="13" t="n">
        <v>103209</v>
      </c>
      <c r="C88" s="14" t="n">
        <v>45749</v>
      </c>
      <c r="D88" s="12" t="s">
        <v>74</v>
      </c>
      <c r="E88" s="12" t="s">
        <v>51</v>
      </c>
      <c r="F88" s="12" t="s">
        <v>59</v>
      </c>
      <c r="G88" s="13" t="n">
        <v>5</v>
      </c>
      <c r="H88" s="15" t="n">
        <v>1281.08</v>
      </c>
      <c r="I88" s="16" t="n">
        <v>0</v>
      </c>
      <c r="J88" s="17" t="n">
        <f aca="false">ROUND(H88*0.18,2)</f>
        <v>230.59</v>
      </c>
      <c r="K88" s="12" t="s">
        <v>62</v>
      </c>
      <c r="L88" s="12" t="s">
        <v>54</v>
      </c>
      <c r="M88" s="12" t="s">
        <v>63</v>
      </c>
      <c r="N88" s="13" t="n">
        <v>5</v>
      </c>
    </row>
    <row r="89" customFormat="false" ht="15" hidden="false" customHeight="false" outlineLevel="0" collapsed="false">
      <c r="A89" s="12" t="s">
        <v>160</v>
      </c>
      <c r="B89" s="13" t="n">
        <v>102049</v>
      </c>
      <c r="C89" s="14" t="n">
        <v>45776</v>
      </c>
      <c r="D89" s="12" t="s">
        <v>61</v>
      </c>
      <c r="E89" s="12" t="s">
        <v>58</v>
      </c>
      <c r="F89" s="12" t="s">
        <v>66</v>
      </c>
      <c r="G89" s="13" t="n">
        <v>5</v>
      </c>
      <c r="H89" s="15" t="n">
        <v>36185.39</v>
      </c>
      <c r="I89" s="16" t="n">
        <v>0.1</v>
      </c>
      <c r="J89" s="17" t="n">
        <f aca="false">ROUND(H89*0.18,2)</f>
        <v>6513.37</v>
      </c>
      <c r="K89" s="12" t="s">
        <v>76</v>
      </c>
      <c r="L89" s="12" t="s">
        <v>54</v>
      </c>
      <c r="M89" s="12" t="s">
        <v>72</v>
      </c>
      <c r="N89" s="13" t="n">
        <v>5</v>
      </c>
    </row>
    <row r="90" customFormat="false" ht="15" hidden="false" customHeight="false" outlineLevel="0" collapsed="false">
      <c r="A90" s="12" t="s">
        <v>161</v>
      </c>
      <c r="B90" s="13" t="n">
        <v>102906</v>
      </c>
      <c r="C90" s="14" t="n">
        <v>45837</v>
      </c>
      <c r="D90" s="12" t="s">
        <v>74</v>
      </c>
      <c r="E90" s="12" t="s">
        <v>51</v>
      </c>
      <c r="F90" s="12" t="s">
        <v>52</v>
      </c>
      <c r="G90" s="13" t="n">
        <v>1</v>
      </c>
      <c r="H90" s="15" t="n">
        <v>53517.19</v>
      </c>
      <c r="I90" s="16" t="n">
        <v>0</v>
      </c>
      <c r="J90" s="17" t="n">
        <f aca="false">ROUND(H90*0.18,2)</f>
        <v>9633.09</v>
      </c>
      <c r="K90" s="12" t="s">
        <v>53</v>
      </c>
      <c r="L90" s="12" t="s">
        <v>54</v>
      </c>
      <c r="M90" s="12" t="s">
        <v>63</v>
      </c>
      <c r="N90" s="13" t="n">
        <v>4</v>
      </c>
    </row>
    <row r="91" customFormat="false" ht="15" hidden="false" customHeight="false" outlineLevel="0" collapsed="false">
      <c r="A91" s="12" t="s">
        <v>162</v>
      </c>
      <c r="B91" s="13" t="n">
        <v>104016</v>
      </c>
      <c r="C91" s="14" t="n">
        <v>45773</v>
      </c>
      <c r="D91" s="12" t="s">
        <v>65</v>
      </c>
      <c r="E91" s="12" t="s">
        <v>58</v>
      </c>
      <c r="F91" s="12" t="s">
        <v>89</v>
      </c>
      <c r="G91" s="13" t="n">
        <v>5</v>
      </c>
      <c r="H91" s="15" t="n">
        <v>51381.83</v>
      </c>
      <c r="I91" s="16" t="n">
        <v>0.05</v>
      </c>
      <c r="J91" s="17" t="n">
        <f aca="false">ROUND(H91*0.18,2)</f>
        <v>9248.73</v>
      </c>
      <c r="K91" s="12" t="s">
        <v>62</v>
      </c>
      <c r="L91" s="12" t="s">
        <v>71</v>
      </c>
      <c r="M91" s="12" t="s">
        <v>63</v>
      </c>
      <c r="N91" s="13" t="n">
        <v>3</v>
      </c>
    </row>
    <row r="92" customFormat="false" ht="15" hidden="false" customHeight="false" outlineLevel="0" collapsed="false">
      <c r="A92" s="12" t="s">
        <v>163</v>
      </c>
      <c r="B92" s="13" t="n">
        <v>102520</v>
      </c>
      <c r="C92" s="14" t="n">
        <v>45812</v>
      </c>
      <c r="D92" s="12" t="s">
        <v>61</v>
      </c>
      <c r="E92" s="12" t="s">
        <v>51</v>
      </c>
      <c r="F92" s="12" t="s">
        <v>89</v>
      </c>
      <c r="G92" s="13" t="n">
        <v>4</v>
      </c>
      <c r="H92" s="15" t="n">
        <v>2291.58</v>
      </c>
      <c r="I92" s="16" t="n">
        <v>0.05</v>
      </c>
      <c r="J92" s="17" t="n">
        <f aca="false">ROUND(H92*0.18,2)</f>
        <v>412.48</v>
      </c>
      <c r="K92" s="12" t="s">
        <v>83</v>
      </c>
      <c r="L92" s="12" t="s">
        <v>54</v>
      </c>
      <c r="M92" s="12" t="s">
        <v>63</v>
      </c>
      <c r="N92" s="13" t="n">
        <v>1</v>
      </c>
    </row>
    <row r="93" customFormat="false" ht="15" hidden="false" customHeight="false" outlineLevel="0" collapsed="false">
      <c r="A93" s="12" t="s">
        <v>164</v>
      </c>
      <c r="B93" s="13" t="n">
        <v>100659</v>
      </c>
      <c r="C93" s="14" t="n">
        <v>46052</v>
      </c>
      <c r="D93" s="12" t="s">
        <v>57</v>
      </c>
      <c r="E93" s="12" t="s">
        <v>51</v>
      </c>
      <c r="F93" s="12" t="s">
        <v>59</v>
      </c>
      <c r="G93" s="13" t="n">
        <v>3</v>
      </c>
      <c r="H93" s="15" t="n">
        <v>25078.69</v>
      </c>
      <c r="I93" s="16" t="n">
        <v>0</v>
      </c>
      <c r="J93" s="17" t="n">
        <f aca="false">ROUND(H93*0.18,2)</f>
        <v>4514.16</v>
      </c>
      <c r="K93" s="12" t="s">
        <v>53</v>
      </c>
      <c r="L93" s="12" t="s">
        <v>54</v>
      </c>
      <c r="M93" s="12" t="s">
        <v>55</v>
      </c>
      <c r="N93" s="13" t="n">
        <v>4</v>
      </c>
    </row>
    <row r="94" customFormat="false" ht="15" hidden="false" customHeight="false" outlineLevel="0" collapsed="false">
      <c r="A94" s="12" t="s">
        <v>165</v>
      </c>
      <c r="B94" s="13" t="n">
        <v>102665</v>
      </c>
      <c r="C94" s="14" t="n">
        <v>45830</v>
      </c>
      <c r="D94" s="12" t="s">
        <v>65</v>
      </c>
      <c r="E94" s="12" t="s">
        <v>51</v>
      </c>
      <c r="F94" s="12" t="s">
        <v>52</v>
      </c>
      <c r="G94" s="13" t="n">
        <v>1</v>
      </c>
      <c r="H94" s="15" t="n">
        <v>26459.1</v>
      </c>
      <c r="I94" s="16" t="n">
        <v>0</v>
      </c>
      <c r="J94" s="17" t="n">
        <f aca="false">ROUND(H94*0.18,2)</f>
        <v>4762.64</v>
      </c>
      <c r="K94" s="12" t="s">
        <v>76</v>
      </c>
      <c r="L94" s="12" t="s">
        <v>54</v>
      </c>
      <c r="M94" s="12" t="s">
        <v>55</v>
      </c>
      <c r="N94" s="13" t="n">
        <v>2</v>
      </c>
    </row>
    <row r="95" customFormat="false" ht="15" hidden="false" customHeight="false" outlineLevel="0" collapsed="false">
      <c r="A95" s="12" t="s">
        <v>166</v>
      </c>
      <c r="B95" s="13" t="n">
        <v>102765</v>
      </c>
      <c r="C95" s="14" t="n">
        <v>45827</v>
      </c>
      <c r="D95" s="12" t="s">
        <v>65</v>
      </c>
      <c r="E95" s="12" t="s">
        <v>58</v>
      </c>
      <c r="F95" s="12" t="s">
        <v>59</v>
      </c>
      <c r="G95" s="13" t="n">
        <v>2</v>
      </c>
      <c r="H95" s="15" t="n">
        <v>13296.86</v>
      </c>
      <c r="I95" s="16" t="n">
        <v>0.05</v>
      </c>
      <c r="J95" s="17" t="n">
        <f aca="false">ROUND(H95*0.18,2)</f>
        <v>2393.43</v>
      </c>
      <c r="K95" s="12" t="s">
        <v>62</v>
      </c>
      <c r="L95" s="12" t="s">
        <v>54</v>
      </c>
      <c r="M95" s="12" t="s">
        <v>55</v>
      </c>
      <c r="N95" s="13" t="n">
        <v>4</v>
      </c>
    </row>
    <row r="96" customFormat="false" ht="15" hidden="false" customHeight="false" outlineLevel="0" collapsed="false">
      <c r="A96" s="12" t="s">
        <v>167</v>
      </c>
      <c r="B96" s="13" t="n">
        <v>104598</v>
      </c>
      <c r="C96" s="14" t="n">
        <v>45968</v>
      </c>
      <c r="D96" s="12" t="s">
        <v>68</v>
      </c>
      <c r="E96" s="12" t="s">
        <v>51</v>
      </c>
      <c r="F96" s="12" t="s">
        <v>59</v>
      </c>
      <c r="G96" s="13" t="n">
        <v>3</v>
      </c>
      <c r="H96" s="15" t="n">
        <v>12372.41</v>
      </c>
      <c r="I96" s="16" t="n">
        <v>0</v>
      </c>
      <c r="J96" s="17" t="n">
        <f aca="false">ROUND(H96*0.18,2)</f>
        <v>2227.03</v>
      </c>
      <c r="K96" s="12" t="s">
        <v>53</v>
      </c>
      <c r="L96" s="12" t="s">
        <v>54</v>
      </c>
      <c r="M96" s="12" t="s">
        <v>63</v>
      </c>
      <c r="N96" s="13" t="n">
        <v>1</v>
      </c>
    </row>
    <row r="97" customFormat="false" ht="15" hidden="false" customHeight="false" outlineLevel="0" collapsed="false">
      <c r="A97" s="12" t="s">
        <v>168</v>
      </c>
      <c r="B97" s="13" t="n">
        <v>101700</v>
      </c>
      <c r="C97" s="14" t="n">
        <v>45965</v>
      </c>
      <c r="D97" s="12" t="s">
        <v>50</v>
      </c>
      <c r="E97" s="12" t="s">
        <v>51</v>
      </c>
      <c r="F97" s="12" t="s">
        <v>52</v>
      </c>
      <c r="G97" s="13" t="n">
        <v>2</v>
      </c>
      <c r="H97" s="15" t="n">
        <v>17448.92</v>
      </c>
      <c r="I97" s="16" t="n">
        <v>0.05</v>
      </c>
      <c r="J97" s="17" t="n">
        <f aca="false">ROUND(H97*0.18,2)</f>
        <v>3140.81</v>
      </c>
      <c r="K97" s="12" t="s">
        <v>53</v>
      </c>
      <c r="L97" s="12" t="s">
        <v>71</v>
      </c>
      <c r="M97" s="12" t="s">
        <v>55</v>
      </c>
      <c r="N97" s="13" t="n">
        <v>3</v>
      </c>
    </row>
    <row r="98" customFormat="false" ht="15" hidden="false" customHeight="false" outlineLevel="0" collapsed="false">
      <c r="A98" s="12" t="s">
        <v>169</v>
      </c>
      <c r="B98" s="13" t="n">
        <v>100396</v>
      </c>
      <c r="C98" s="14" t="n">
        <v>46184</v>
      </c>
      <c r="D98" s="12" t="s">
        <v>57</v>
      </c>
      <c r="E98" s="12" t="s">
        <v>51</v>
      </c>
      <c r="F98" s="12" t="s">
        <v>66</v>
      </c>
      <c r="G98" s="13" t="n">
        <v>4</v>
      </c>
      <c r="H98" s="15" t="n">
        <v>34116.77</v>
      </c>
      <c r="I98" s="16" t="n">
        <v>0</v>
      </c>
      <c r="J98" s="17" t="n">
        <f aca="false">ROUND(H98*0.18,2)</f>
        <v>6141.02</v>
      </c>
      <c r="K98" s="12" t="s">
        <v>62</v>
      </c>
      <c r="L98" s="12" t="s">
        <v>54</v>
      </c>
      <c r="M98" s="12" t="s">
        <v>55</v>
      </c>
      <c r="N98" s="13" t="n">
        <v>4</v>
      </c>
    </row>
    <row r="99" customFormat="false" ht="15" hidden="false" customHeight="false" outlineLevel="0" collapsed="false">
      <c r="A99" s="12" t="s">
        <v>170</v>
      </c>
      <c r="B99" s="13" t="n">
        <v>102973</v>
      </c>
      <c r="C99" s="14" t="n">
        <v>46056</v>
      </c>
      <c r="D99" s="12" t="s">
        <v>68</v>
      </c>
      <c r="E99" s="12" t="s">
        <v>58</v>
      </c>
      <c r="F99" s="12" t="s">
        <v>89</v>
      </c>
      <c r="G99" s="13" t="n">
        <v>4</v>
      </c>
      <c r="H99" s="15" t="n">
        <v>20039.23</v>
      </c>
      <c r="I99" s="16" t="n">
        <v>0.05</v>
      </c>
      <c r="J99" s="17" t="n">
        <f aca="false">ROUND(H99*0.18,2)</f>
        <v>3607.06</v>
      </c>
      <c r="K99" s="12" t="s">
        <v>53</v>
      </c>
      <c r="L99" s="12" t="s">
        <v>71</v>
      </c>
      <c r="M99" s="12" t="s">
        <v>72</v>
      </c>
      <c r="N99" s="13" t="n">
        <v>4</v>
      </c>
    </row>
    <row r="100" customFormat="false" ht="15" hidden="false" customHeight="false" outlineLevel="0" collapsed="false">
      <c r="A100" s="12" t="s">
        <v>171</v>
      </c>
      <c r="B100" s="13" t="n">
        <v>102098</v>
      </c>
      <c r="C100" s="14" t="n">
        <v>46044</v>
      </c>
      <c r="D100" s="12" t="s">
        <v>57</v>
      </c>
      <c r="E100" s="12" t="s">
        <v>51</v>
      </c>
      <c r="F100" s="12" t="s">
        <v>89</v>
      </c>
      <c r="G100" s="13" t="n">
        <v>1</v>
      </c>
      <c r="H100" s="15" t="n">
        <v>47152.77</v>
      </c>
      <c r="I100" s="16" t="n">
        <v>0</v>
      </c>
      <c r="J100" s="17" t="n">
        <f aca="false">ROUND(H100*0.18,2)</f>
        <v>8487.5</v>
      </c>
      <c r="K100" s="12" t="s">
        <v>76</v>
      </c>
      <c r="L100" s="12" t="s">
        <v>54</v>
      </c>
      <c r="M100" s="12" t="s">
        <v>63</v>
      </c>
      <c r="N100" s="13" t="n">
        <v>3</v>
      </c>
    </row>
    <row r="101" customFormat="false" ht="15" hidden="false" customHeight="false" outlineLevel="0" collapsed="false">
      <c r="A101" s="12" t="s">
        <v>172</v>
      </c>
      <c r="B101" s="13" t="n">
        <v>101388</v>
      </c>
      <c r="C101" s="14" t="n">
        <v>46103</v>
      </c>
      <c r="D101" s="12" t="s">
        <v>68</v>
      </c>
      <c r="E101" s="12" t="s">
        <v>58</v>
      </c>
      <c r="F101" s="12" t="s">
        <v>66</v>
      </c>
      <c r="G101" s="13" t="n">
        <v>1</v>
      </c>
      <c r="H101" s="15" t="n">
        <v>26641.1</v>
      </c>
      <c r="I101" s="16" t="n">
        <v>0.05</v>
      </c>
      <c r="J101" s="17" t="n">
        <f aca="false">ROUND(H101*0.18,2)</f>
        <v>4795.4</v>
      </c>
      <c r="K101" s="12" t="s">
        <v>83</v>
      </c>
      <c r="L101" s="12" t="s">
        <v>54</v>
      </c>
      <c r="M101" s="12" t="s">
        <v>63</v>
      </c>
      <c r="N101" s="13" t="n">
        <v>0</v>
      </c>
    </row>
    <row r="102" customFormat="false" ht="15" hidden="false" customHeight="false" outlineLevel="0" collapsed="false">
      <c r="A102" s="12" t="s">
        <v>173</v>
      </c>
      <c r="B102" s="13" t="n">
        <v>103846</v>
      </c>
      <c r="C102" s="14" t="n">
        <v>46013</v>
      </c>
      <c r="D102" s="12" t="s">
        <v>74</v>
      </c>
      <c r="E102" s="12" t="s">
        <v>51</v>
      </c>
      <c r="F102" s="12" t="s">
        <v>89</v>
      </c>
      <c r="G102" s="13" t="n">
        <v>4</v>
      </c>
      <c r="H102" s="15" t="n">
        <v>22587.88</v>
      </c>
      <c r="I102" s="16" t="n">
        <v>0</v>
      </c>
      <c r="J102" s="17" t="n">
        <f aca="false">ROUND(H102*0.18,2)</f>
        <v>4065.82</v>
      </c>
      <c r="K102" s="12" t="s">
        <v>62</v>
      </c>
      <c r="L102" s="12" t="s">
        <v>54</v>
      </c>
      <c r="M102" s="12" t="s">
        <v>72</v>
      </c>
      <c r="N102" s="13" t="n">
        <v>0</v>
      </c>
    </row>
    <row r="103" customFormat="false" ht="15" hidden="false" customHeight="false" outlineLevel="0" collapsed="false">
      <c r="A103" s="12" t="s">
        <v>174</v>
      </c>
      <c r="B103" s="13" t="n">
        <v>102899</v>
      </c>
      <c r="C103" s="14" t="n">
        <v>45812</v>
      </c>
      <c r="D103" s="12" t="s">
        <v>61</v>
      </c>
      <c r="E103" s="12" t="s">
        <v>51</v>
      </c>
      <c r="F103" s="12" t="s">
        <v>59</v>
      </c>
      <c r="G103" s="13" t="n">
        <v>1</v>
      </c>
      <c r="H103" s="15" t="n">
        <v>49109.55</v>
      </c>
      <c r="I103" s="16" t="n">
        <v>0.1</v>
      </c>
      <c r="J103" s="17" t="n">
        <f aca="false">ROUND(H103*0.18,2)</f>
        <v>8839.72</v>
      </c>
      <c r="K103" s="12" t="s">
        <v>83</v>
      </c>
      <c r="L103" s="12" t="s">
        <v>54</v>
      </c>
      <c r="M103" s="12" t="s">
        <v>63</v>
      </c>
      <c r="N103" s="13" t="n">
        <v>4</v>
      </c>
    </row>
    <row r="104" customFormat="false" ht="15" hidden="false" customHeight="false" outlineLevel="0" collapsed="false">
      <c r="A104" s="12" t="s">
        <v>175</v>
      </c>
      <c r="B104" s="13" t="n">
        <v>101583</v>
      </c>
      <c r="C104" s="14" t="n">
        <v>45785</v>
      </c>
      <c r="D104" s="12" t="s">
        <v>65</v>
      </c>
      <c r="E104" s="12" t="s">
        <v>51</v>
      </c>
      <c r="F104" s="12" t="s">
        <v>81</v>
      </c>
      <c r="G104" s="13" t="n">
        <v>2</v>
      </c>
      <c r="H104" s="15" t="n">
        <v>19539.52</v>
      </c>
      <c r="I104" s="16" t="n">
        <v>0.05</v>
      </c>
      <c r="J104" s="17" t="n">
        <f aca="false">ROUND(H104*0.18,2)</f>
        <v>3517.11</v>
      </c>
      <c r="K104" s="12" t="s">
        <v>53</v>
      </c>
      <c r="L104" s="12" t="s">
        <v>69</v>
      </c>
      <c r="M104" s="12" t="s">
        <v>63</v>
      </c>
      <c r="N104" s="13" t="n">
        <v>4</v>
      </c>
    </row>
    <row r="105" customFormat="false" ht="15" hidden="false" customHeight="false" outlineLevel="0" collapsed="false">
      <c r="A105" s="12" t="s">
        <v>176</v>
      </c>
      <c r="B105" s="13" t="n">
        <v>101172</v>
      </c>
      <c r="C105" s="14" t="n">
        <v>45751</v>
      </c>
      <c r="D105" s="12" t="s">
        <v>65</v>
      </c>
      <c r="E105" s="12" t="s">
        <v>51</v>
      </c>
      <c r="F105" s="12" t="s">
        <v>59</v>
      </c>
      <c r="G105" s="13" t="n">
        <v>4</v>
      </c>
      <c r="H105" s="15" t="n">
        <v>41742.99</v>
      </c>
      <c r="I105" s="16" t="n">
        <v>0</v>
      </c>
      <c r="J105" s="17" t="n">
        <f aca="false">ROUND(H105*0.18,2)</f>
        <v>7513.74</v>
      </c>
      <c r="K105" s="12" t="s">
        <v>53</v>
      </c>
      <c r="L105" s="12" t="s">
        <v>54</v>
      </c>
      <c r="M105" s="12" t="s">
        <v>72</v>
      </c>
      <c r="N105" s="13" t="n">
        <v>0</v>
      </c>
    </row>
    <row r="106" customFormat="false" ht="15" hidden="false" customHeight="false" outlineLevel="0" collapsed="false">
      <c r="A106" s="12" t="s">
        <v>177</v>
      </c>
      <c r="B106" s="13" t="n">
        <v>100907</v>
      </c>
      <c r="C106" s="14" t="n">
        <v>45706</v>
      </c>
      <c r="D106" s="12" t="s">
        <v>61</v>
      </c>
      <c r="E106" s="12" t="s">
        <v>58</v>
      </c>
      <c r="F106" s="12" t="s">
        <v>59</v>
      </c>
      <c r="G106" s="13" t="n">
        <v>1</v>
      </c>
      <c r="H106" s="15" t="n">
        <v>-26785.9</v>
      </c>
      <c r="I106" s="16" t="n">
        <v>0</v>
      </c>
      <c r="J106" s="17" t="n">
        <f aca="false">ROUND(H106*0.18,2)</f>
        <v>-4821.46</v>
      </c>
      <c r="K106" s="12" t="s">
        <v>76</v>
      </c>
      <c r="L106" s="12" t="s">
        <v>78</v>
      </c>
      <c r="M106" s="12" t="s">
        <v>72</v>
      </c>
      <c r="N106" s="13" t="n">
        <v>0</v>
      </c>
    </row>
    <row r="107" customFormat="false" ht="15" hidden="false" customHeight="false" outlineLevel="0" collapsed="false">
      <c r="A107" s="12" t="s">
        <v>178</v>
      </c>
      <c r="B107" s="13" t="n">
        <v>100189</v>
      </c>
      <c r="C107" s="14" t="n">
        <v>45803</v>
      </c>
      <c r="D107" s="12" t="s">
        <v>68</v>
      </c>
      <c r="E107" s="12" t="s">
        <v>51</v>
      </c>
      <c r="F107" s="12" t="s">
        <v>66</v>
      </c>
      <c r="G107" s="13" t="n">
        <v>3</v>
      </c>
      <c r="H107" s="15" t="n">
        <v>52373.99</v>
      </c>
      <c r="I107" s="16" t="n">
        <v>0.15</v>
      </c>
      <c r="J107" s="17" t="n">
        <f aca="false">ROUND(H107*0.18,2)</f>
        <v>9427.32</v>
      </c>
      <c r="K107" s="12" t="s">
        <v>53</v>
      </c>
      <c r="L107" s="12" t="s">
        <v>54</v>
      </c>
      <c r="M107" s="12" t="s">
        <v>63</v>
      </c>
      <c r="N107" s="13" t="n">
        <v>5</v>
      </c>
    </row>
    <row r="108" customFormat="false" ht="15" hidden="false" customHeight="false" outlineLevel="0" collapsed="false">
      <c r="A108" s="12" t="s">
        <v>179</v>
      </c>
      <c r="B108" s="13" t="n">
        <v>100721</v>
      </c>
      <c r="C108" s="14" t="n">
        <v>46078</v>
      </c>
      <c r="D108" s="12" t="s">
        <v>74</v>
      </c>
      <c r="E108" s="12" t="s">
        <v>58</v>
      </c>
      <c r="F108" s="12" t="s">
        <v>52</v>
      </c>
      <c r="G108" s="13" t="n">
        <v>5</v>
      </c>
      <c r="H108" s="15" t="n">
        <v>20831.34</v>
      </c>
      <c r="I108" s="16" t="n">
        <v>0</v>
      </c>
      <c r="J108" s="17" t="n">
        <f aca="false">ROUND(H108*0.18,2)</f>
        <v>3749.64</v>
      </c>
      <c r="K108" s="12" t="s">
        <v>62</v>
      </c>
      <c r="L108" s="12" t="s">
        <v>54</v>
      </c>
      <c r="M108" s="12" t="s">
        <v>72</v>
      </c>
      <c r="N108" s="13" t="n">
        <v>4</v>
      </c>
    </row>
    <row r="109" customFormat="false" ht="15" hidden="false" customHeight="false" outlineLevel="0" collapsed="false">
      <c r="A109" s="12" t="s">
        <v>180</v>
      </c>
      <c r="B109" s="13" t="n">
        <v>104390</v>
      </c>
      <c r="C109" s="14" t="n">
        <v>45843</v>
      </c>
      <c r="D109" s="12" t="s">
        <v>68</v>
      </c>
      <c r="E109" s="12" t="s">
        <v>51</v>
      </c>
      <c r="F109" s="12" t="s">
        <v>66</v>
      </c>
      <c r="G109" s="13" t="n">
        <v>1</v>
      </c>
      <c r="H109" s="15" t="n">
        <v>13785.79</v>
      </c>
      <c r="I109" s="16" t="n">
        <v>0.05</v>
      </c>
      <c r="J109" s="17" t="n">
        <f aca="false">ROUND(H109*0.18,2)</f>
        <v>2481.44</v>
      </c>
      <c r="K109" s="12" t="s">
        <v>62</v>
      </c>
      <c r="L109" s="12" t="s">
        <v>54</v>
      </c>
      <c r="M109" s="12" t="s">
        <v>55</v>
      </c>
      <c r="N109" s="13" t="n">
        <v>3</v>
      </c>
    </row>
    <row r="110" customFormat="false" ht="15" hidden="false" customHeight="false" outlineLevel="0" collapsed="false">
      <c r="A110" s="12" t="s">
        <v>181</v>
      </c>
      <c r="B110" s="13" t="n">
        <v>102234</v>
      </c>
      <c r="C110" s="14" t="n">
        <v>45870</v>
      </c>
      <c r="D110" s="12" t="s">
        <v>74</v>
      </c>
      <c r="E110" s="12" t="s">
        <v>51</v>
      </c>
      <c r="F110" s="12" t="s">
        <v>52</v>
      </c>
      <c r="G110" s="13" t="n">
        <v>4</v>
      </c>
      <c r="H110" s="15" t="n">
        <v>23441.4</v>
      </c>
      <c r="I110" s="16" t="n">
        <v>0</v>
      </c>
      <c r="J110" s="17" t="n">
        <f aca="false">ROUND(H110*0.18,2)</f>
        <v>4219.45</v>
      </c>
      <c r="K110" s="12" t="s">
        <v>62</v>
      </c>
      <c r="L110" s="12" t="s">
        <v>54</v>
      </c>
      <c r="M110" s="12" t="s">
        <v>55</v>
      </c>
      <c r="N110" s="13" t="n">
        <v>2</v>
      </c>
    </row>
    <row r="111" customFormat="false" ht="15" hidden="false" customHeight="false" outlineLevel="0" collapsed="false">
      <c r="A111" s="12" t="s">
        <v>182</v>
      </c>
      <c r="B111" s="13" t="n">
        <v>102121</v>
      </c>
      <c r="C111" s="14" t="n">
        <v>45659</v>
      </c>
      <c r="D111" s="12" t="s">
        <v>50</v>
      </c>
      <c r="E111" s="12" t="s">
        <v>51</v>
      </c>
      <c r="F111" s="12" t="s">
        <v>52</v>
      </c>
      <c r="G111" s="13" t="n">
        <v>3</v>
      </c>
      <c r="H111" s="15" t="n">
        <v>17947.51</v>
      </c>
      <c r="I111" s="16" t="n">
        <v>0.1</v>
      </c>
      <c r="J111" s="17" t="n">
        <f aca="false">ROUND(H111*0.18,2)</f>
        <v>3230.55</v>
      </c>
      <c r="K111" s="12" t="s">
        <v>62</v>
      </c>
      <c r="L111" s="12" t="s">
        <v>54</v>
      </c>
      <c r="M111" s="12" t="s">
        <v>55</v>
      </c>
      <c r="N111" s="13" t="n">
        <v>5</v>
      </c>
    </row>
    <row r="112" customFormat="false" ht="15" hidden="false" customHeight="false" outlineLevel="0" collapsed="false">
      <c r="A112" s="12" t="s">
        <v>183</v>
      </c>
      <c r="B112" s="13" t="n">
        <v>103425</v>
      </c>
      <c r="C112" s="14" t="n">
        <v>46092</v>
      </c>
      <c r="D112" s="12" t="s">
        <v>68</v>
      </c>
      <c r="E112" s="12" t="s">
        <v>51</v>
      </c>
      <c r="F112" s="12" t="s">
        <v>52</v>
      </c>
      <c r="G112" s="13" t="n">
        <v>4</v>
      </c>
      <c r="H112" s="15" t="n">
        <v>36762.21</v>
      </c>
      <c r="I112" s="16" t="n">
        <v>0.1</v>
      </c>
      <c r="J112" s="17" t="n">
        <f aca="false">ROUND(H112*0.18,2)</f>
        <v>6617.2</v>
      </c>
      <c r="K112" s="12" t="s">
        <v>83</v>
      </c>
      <c r="L112" s="12" t="s">
        <v>54</v>
      </c>
      <c r="M112" s="12" t="s">
        <v>72</v>
      </c>
      <c r="N112" s="13" t="n">
        <v>3</v>
      </c>
    </row>
    <row r="113" customFormat="false" ht="15" hidden="false" customHeight="false" outlineLevel="0" collapsed="false">
      <c r="A113" s="12" t="s">
        <v>184</v>
      </c>
      <c r="B113" s="13" t="n">
        <v>104764</v>
      </c>
      <c r="C113" s="14" t="n">
        <v>46044</v>
      </c>
      <c r="D113" s="12" t="s">
        <v>57</v>
      </c>
      <c r="E113" s="12" t="s">
        <v>58</v>
      </c>
      <c r="F113" s="12" t="s">
        <v>66</v>
      </c>
      <c r="G113" s="13" t="n">
        <v>4</v>
      </c>
      <c r="H113" s="15" t="n">
        <v>-32638.08</v>
      </c>
      <c r="I113" s="16" t="n">
        <v>0.1</v>
      </c>
      <c r="J113" s="17" t="n">
        <f aca="false">ROUND(H113*0.18,2)</f>
        <v>-5874.85</v>
      </c>
      <c r="K113" s="12" t="s">
        <v>62</v>
      </c>
      <c r="L113" s="12" t="s">
        <v>78</v>
      </c>
      <c r="M113" s="12" t="s">
        <v>72</v>
      </c>
      <c r="N113" s="13" t="n">
        <v>3</v>
      </c>
    </row>
    <row r="114" customFormat="false" ht="15" hidden="false" customHeight="false" outlineLevel="0" collapsed="false">
      <c r="A114" s="12" t="s">
        <v>185</v>
      </c>
      <c r="B114" s="13" t="n">
        <v>103917</v>
      </c>
      <c r="C114" s="14" t="n">
        <v>45703</v>
      </c>
      <c r="D114" s="12" t="s">
        <v>68</v>
      </c>
      <c r="E114" s="12" t="s">
        <v>58</v>
      </c>
      <c r="F114" s="12" t="s">
        <v>66</v>
      </c>
      <c r="G114" s="13" t="n">
        <v>5</v>
      </c>
      <c r="H114" s="15" t="n">
        <v>20577.07</v>
      </c>
      <c r="I114" s="16" t="n">
        <v>0.05</v>
      </c>
      <c r="J114" s="17" t="n">
        <f aca="false">ROUND(H114*0.18,2)</f>
        <v>3703.87</v>
      </c>
      <c r="K114" s="12" t="s">
        <v>83</v>
      </c>
      <c r="L114" s="12" t="s">
        <v>54</v>
      </c>
      <c r="M114" s="12" t="s">
        <v>63</v>
      </c>
      <c r="N114" s="13" t="n">
        <v>2</v>
      </c>
    </row>
    <row r="115" customFormat="false" ht="15" hidden="false" customHeight="false" outlineLevel="0" collapsed="false">
      <c r="A115" s="12" t="s">
        <v>186</v>
      </c>
      <c r="B115" s="13" t="n">
        <v>102557</v>
      </c>
      <c r="C115" s="14" t="n">
        <v>45921</v>
      </c>
      <c r="D115" s="12" t="s">
        <v>65</v>
      </c>
      <c r="E115" s="12" t="s">
        <v>58</v>
      </c>
      <c r="F115" s="12" t="s">
        <v>81</v>
      </c>
      <c r="G115" s="13" t="n">
        <v>1</v>
      </c>
      <c r="H115" s="15" t="n">
        <v>15275.5</v>
      </c>
      <c r="I115" s="16" t="n">
        <v>0</v>
      </c>
      <c r="J115" s="17" t="n">
        <f aca="false">ROUND(H115*0.18,2)</f>
        <v>2749.59</v>
      </c>
      <c r="K115" s="12" t="s">
        <v>76</v>
      </c>
      <c r="L115" s="12" t="s">
        <v>54</v>
      </c>
      <c r="M115" s="12" t="s">
        <v>63</v>
      </c>
      <c r="N115" s="13" t="n">
        <v>0</v>
      </c>
    </row>
    <row r="116" customFormat="false" ht="15" hidden="false" customHeight="false" outlineLevel="0" collapsed="false">
      <c r="A116" s="12" t="s">
        <v>187</v>
      </c>
      <c r="B116" s="13" t="n">
        <v>104521</v>
      </c>
      <c r="C116" s="14" t="n">
        <v>46125</v>
      </c>
      <c r="D116" s="12" t="s">
        <v>65</v>
      </c>
      <c r="E116" s="12" t="s">
        <v>51</v>
      </c>
      <c r="F116" s="12" t="s">
        <v>52</v>
      </c>
      <c r="G116" s="13" t="n">
        <v>5</v>
      </c>
      <c r="H116" s="15" t="n">
        <v>51510.73</v>
      </c>
      <c r="I116" s="16" t="n">
        <v>0.05</v>
      </c>
      <c r="J116" s="17" t="n">
        <f aca="false">ROUND(H116*0.18,2)</f>
        <v>9271.93</v>
      </c>
      <c r="K116" s="12" t="s">
        <v>83</v>
      </c>
      <c r="L116" s="12" t="s">
        <v>54</v>
      </c>
      <c r="M116" s="12" t="s">
        <v>72</v>
      </c>
      <c r="N116" s="13" t="n">
        <v>1</v>
      </c>
    </row>
    <row r="117" customFormat="false" ht="15" hidden="false" customHeight="false" outlineLevel="0" collapsed="false">
      <c r="A117" s="12" t="s">
        <v>188</v>
      </c>
      <c r="B117" s="13" t="n">
        <v>101979</v>
      </c>
      <c r="C117" s="14" t="n">
        <v>45777</v>
      </c>
      <c r="D117" s="12" t="s">
        <v>74</v>
      </c>
      <c r="E117" s="12" t="s">
        <v>58</v>
      </c>
      <c r="F117" s="12" t="s">
        <v>89</v>
      </c>
      <c r="G117" s="13" t="n">
        <v>1</v>
      </c>
      <c r="H117" s="15" t="n">
        <v>48230.64</v>
      </c>
      <c r="I117" s="16" t="n">
        <v>0.05</v>
      </c>
      <c r="J117" s="17" t="n">
        <f aca="false">ROUND(H117*0.18,2)</f>
        <v>8681.52</v>
      </c>
      <c r="K117" s="12" t="s">
        <v>53</v>
      </c>
      <c r="L117" s="12" t="s">
        <v>54</v>
      </c>
      <c r="M117" s="12" t="s">
        <v>63</v>
      </c>
      <c r="N117" s="13" t="n">
        <v>1</v>
      </c>
    </row>
    <row r="118" customFormat="false" ht="15" hidden="false" customHeight="false" outlineLevel="0" collapsed="false">
      <c r="A118" s="12" t="s">
        <v>189</v>
      </c>
      <c r="B118" s="13" t="n">
        <v>104702</v>
      </c>
      <c r="C118" s="14" t="n">
        <v>45682</v>
      </c>
      <c r="D118" s="12" t="s">
        <v>57</v>
      </c>
      <c r="E118" s="12" t="s">
        <v>51</v>
      </c>
      <c r="F118" s="12" t="s">
        <v>66</v>
      </c>
      <c r="G118" s="13" t="n">
        <v>5</v>
      </c>
      <c r="H118" s="15" t="n">
        <v>-53395.17</v>
      </c>
      <c r="I118" s="16" t="n">
        <v>0.1</v>
      </c>
      <c r="J118" s="17" t="n">
        <f aca="false">ROUND(H118*0.18,2)</f>
        <v>-9611.13</v>
      </c>
      <c r="K118" s="12" t="s">
        <v>53</v>
      </c>
      <c r="L118" s="12" t="s">
        <v>78</v>
      </c>
      <c r="M118" s="12" t="s">
        <v>63</v>
      </c>
      <c r="N118" s="13" t="n">
        <v>0</v>
      </c>
    </row>
    <row r="119" customFormat="false" ht="15" hidden="false" customHeight="false" outlineLevel="0" collapsed="false">
      <c r="A119" s="12" t="s">
        <v>190</v>
      </c>
      <c r="B119" s="13" t="n">
        <v>102291</v>
      </c>
      <c r="C119" s="14" t="n">
        <v>45826</v>
      </c>
      <c r="D119" s="12" t="s">
        <v>68</v>
      </c>
      <c r="E119" s="12" t="s">
        <v>51</v>
      </c>
      <c r="F119" s="12" t="s">
        <v>89</v>
      </c>
      <c r="G119" s="13" t="n">
        <v>1</v>
      </c>
      <c r="H119" s="15" t="n">
        <v>17965.74</v>
      </c>
      <c r="I119" s="16" t="n">
        <v>0.05</v>
      </c>
      <c r="J119" s="17" t="n">
        <f aca="false">ROUND(H119*0.18,2)</f>
        <v>3233.83</v>
      </c>
      <c r="K119" s="12" t="s">
        <v>53</v>
      </c>
      <c r="L119" s="12" t="s">
        <v>54</v>
      </c>
      <c r="M119" s="12" t="s">
        <v>72</v>
      </c>
      <c r="N119" s="13" t="n">
        <v>3</v>
      </c>
    </row>
    <row r="120" customFormat="false" ht="15" hidden="false" customHeight="false" outlineLevel="0" collapsed="false">
      <c r="A120" s="12" t="s">
        <v>191</v>
      </c>
      <c r="B120" s="13" t="n">
        <v>102454</v>
      </c>
      <c r="C120" s="14" t="n">
        <v>45754</v>
      </c>
      <c r="D120" s="12" t="s">
        <v>50</v>
      </c>
      <c r="E120" s="12" t="s">
        <v>51</v>
      </c>
      <c r="F120" s="12" t="s">
        <v>81</v>
      </c>
      <c r="G120" s="13" t="n">
        <v>3</v>
      </c>
      <c r="H120" s="15" t="n">
        <v>43402.01</v>
      </c>
      <c r="I120" s="16" t="n">
        <v>0.1</v>
      </c>
      <c r="J120" s="17" t="n">
        <f aca="false">ROUND(H120*0.18,2)</f>
        <v>7812.36</v>
      </c>
      <c r="K120" s="12" t="s">
        <v>53</v>
      </c>
      <c r="L120" s="12" t="s">
        <v>54</v>
      </c>
      <c r="M120" s="12" t="s">
        <v>55</v>
      </c>
      <c r="N120" s="13" t="n">
        <v>4</v>
      </c>
    </row>
    <row r="121" customFormat="false" ht="15" hidden="false" customHeight="false" outlineLevel="0" collapsed="false">
      <c r="A121" s="12" t="s">
        <v>192</v>
      </c>
      <c r="B121" s="13" t="n">
        <v>101404</v>
      </c>
      <c r="C121" s="14" t="n">
        <v>45960</v>
      </c>
      <c r="D121" s="12" t="s">
        <v>65</v>
      </c>
      <c r="E121" s="12" t="s">
        <v>58</v>
      </c>
      <c r="F121" s="12" t="s">
        <v>81</v>
      </c>
      <c r="G121" s="13" t="n">
        <v>4</v>
      </c>
      <c r="H121" s="15" t="n">
        <v>12258.94</v>
      </c>
      <c r="I121" s="16" t="n">
        <v>0.05</v>
      </c>
      <c r="J121" s="17" t="n">
        <f aca="false">ROUND(H121*0.18,2)</f>
        <v>2206.61</v>
      </c>
      <c r="K121" s="12" t="s">
        <v>83</v>
      </c>
      <c r="L121" s="12" t="s">
        <v>54</v>
      </c>
      <c r="M121" s="12" t="s">
        <v>72</v>
      </c>
      <c r="N121" s="13" t="n">
        <v>3</v>
      </c>
    </row>
  </sheetData>
  <conditionalFormatting sqref="H2:H121">
    <cfRule type="colorScale" priority="2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L2:L121">
    <cfRule type="cellIs" priority="3" operator="equal" aboveAverage="0" equalAverage="0" bottom="0" percent="0" rank="0" text="" dxfId="0">
      <formula>"Refunded"</formula>
    </cfRule>
  </conditionalFormatting>
  <conditionalFormatting sqref="N2:N121">
    <cfRule type="dataBar" priority="4">
      <dataBar showValue="1" minLength="10" maxLength="90">
        <cfvo type="num" val="0"/>
        <cfvo type="num" val="5"/>
        <color rgb="FF638EC6"/>
      </dataBar>
      <extLst>
        <ext xmlns:x14="http://schemas.microsoft.com/office/spreadsheetml/2009/9/main" uri="{B025F937-C7B1-47D3-B67F-A62EFF666E3E}">
          <x14:id>{F5A7D4EA-C48A-4144-942A-A1CC35344C5C}</x14:id>
        </ext>
      </extLst>
    </cfRule>
  </conditionalFormatting>
  <dataValidations count="3">
    <dataValidation allowBlank="true" errorStyle="stop" operator="between" showDropDown="false" showErrorMessage="false" showInputMessage="false" sqref="D2:D121" type="list">
      <formula1>Master!$A$10:$A$15</formula1>
      <formula2>0</formula2>
    </dataValidation>
    <dataValidation allowBlank="true" errorStyle="stop" operator="between" showDropDown="false" showErrorMessage="false" showInputMessage="false" sqref="F2:F121" type="list">
      <formula1>Master!$A$2:$A$6</formula1>
      <formula2>0</formula2>
    </dataValidation>
    <dataValidation allowBlank="true" errorStyle="stop" operator="between" showDropDown="false" showErrorMessage="false" showInputMessage="false" sqref="L2:L121" type="list">
      <formula1>"Completed,Refunded,Pending,Cancelled"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F5A7D4EA-C48A-4144-942A-A1CC35344C5C}">
            <x14:dataBar minLength="10" maxLength="90" axisPosition="none" gradient="true">
              <x14:cfvo type="num">
                <xm:f>0</xm:f>
              </x14:cfvo>
              <x14:cfvo type="num">
                <xm:f>5</xm:f>
              </x14:cfvo>
              <x14:negativeFillColor rgb="FF638EC6"/>
              <x14:axisColor rgb="FF000000"/>
            </x14:dataBar>
          </x14:cfRule>
          <xm:sqref>N2:N121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5" min="2" style="0" width="16"/>
  </cols>
  <sheetData>
    <row r="1" customFormat="false" ht="15" hidden="false" customHeight="false" outlineLevel="0" collapsed="false">
      <c r="A1" s="11" t="s">
        <v>39</v>
      </c>
      <c r="B1" s="11" t="s">
        <v>193</v>
      </c>
      <c r="C1" s="11" t="s">
        <v>194</v>
      </c>
      <c r="D1" s="11" t="s">
        <v>195</v>
      </c>
    </row>
    <row r="2" customFormat="false" ht="15" hidden="false" customHeight="false" outlineLevel="0" collapsed="false">
      <c r="A2" s="18" t="s">
        <v>89</v>
      </c>
      <c r="B2" s="18" t="s">
        <v>196</v>
      </c>
      <c r="C2" s="19" t="n">
        <v>4500</v>
      </c>
      <c r="D2" s="18" t="s">
        <v>197</v>
      </c>
    </row>
    <row r="3" customFormat="false" ht="15" hidden="false" customHeight="false" outlineLevel="0" collapsed="false">
      <c r="A3" s="18" t="s">
        <v>81</v>
      </c>
      <c r="B3" s="18" t="s">
        <v>198</v>
      </c>
      <c r="C3" s="19" t="n">
        <v>2800</v>
      </c>
      <c r="D3" s="18" t="s">
        <v>199</v>
      </c>
    </row>
    <row r="4" customFormat="false" ht="15" hidden="false" customHeight="false" outlineLevel="0" collapsed="false">
      <c r="A4" s="18" t="s">
        <v>66</v>
      </c>
      <c r="B4" s="18" t="s">
        <v>200</v>
      </c>
      <c r="C4" s="19" t="n">
        <v>6200</v>
      </c>
      <c r="D4" s="18" t="s">
        <v>201</v>
      </c>
    </row>
    <row r="5" customFormat="false" ht="15" hidden="false" customHeight="false" outlineLevel="0" collapsed="false">
      <c r="A5" s="18" t="s">
        <v>59</v>
      </c>
      <c r="B5" s="18" t="s">
        <v>202</v>
      </c>
      <c r="C5" s="19" t="n">
        <v>9800</v>
      </c>
      <c r="D5" s="18" t="s">
        <v>203</v>
      </c>
    </row>
    <row r="6" customFormat="false" ht="15" hidden="false" customHeight="false" outlineLevel="0" collapsed="false">
      <c r="A6" s="18" t="s">
        <v>52</v>
      </c>
      <c r="B6" s="18" t="s">
        <v>198</v>
      </c>
      <c r="C6" s="19" t="n">
        <v>12500</v>
      </c>
      <c r="D6" s="18" t="s">
        <v>199</v>
      </c>
    </row>
    <row r="9" customFormat="false" ht="15" hidden="false" customHeight="false" outlineLevel="0" collapsed="false">
      <c r="A9" s="11" t="s">
        <v>37</v>
      </c>
      <c r="B9" s="11" t="s">
        <v>204</v>
      </c>
      <c r="C9" s="11" t="s">
        <v>205</v>
      </c>
    </row>
    <row r="10" customFormat="false" ht="15" hidden="false" customHeight="false" outlineLevel="0" collapsed="false">
      <c r="A10" s="18" t="s">
        <v>65</v>
      </c>
      <c r="B10" s="18" t="s">
        <v>206</v>
      </c>
      <c r="C10" s="18" t="s">
        <v>207</v>
      </c>
    </row>
    <row r="11" customFormat="false" ht="15" hidden="false" customHeight="false" outlineLevel="0" collapsed="false">
      <c r="A11" s="18" t="s">
        <v>50</v>
      </c>
      <c r="B11" s="18" t="s">
        <v>208</v>
      </c>
      <c r="C11" s="18" t="s">
        <v>209</v>
      </c>
    </row>
    <row r="12" customFormat="false" ht="15" hidden="false" customHeight="false" outlineLevel="0" collapsed="false">
      <c r="A12" s="18" t="s">
        <v>57</v>
      </c>
      <c r="B12" s="18" t="s">
        <v>210</v>
      </c>
      <c r="C12" s="18" t="s">
        <v>211</v>
      </c>
    </row>
    <row r="13" customFormat="false" ht="15" hidden="false" customHeight="false" outlineLevel="0" collapsed="false">
      <c r="A13" s="18" t="s">
        <v>61</v>
      </c>
      <c r="B13" s="18" t="s">
        <v>208</v>
      </c>
      <c r="C13" s="18" t="s">
        <v>212</v>
      </c>
    </row>
    <row r="14" customFormat="false" ht="15" hidden="false" customHeight="false" outlineLevel="0" collapsed="false">
      <c r="A14" s="18" t="s">
        <v>68</v>
      </c>
      <c r="B14" s="18" t="s">
        <v>206</v>
      </c>
      <c r="C14" s="18" t="s">
        <v>213</v>
      </c>
    </row>
    <row r="15" customFormat="false" ht="15" hidden="false" customHeight="false" outlineLevel="0" collapsed="false">
      <c r="A15" s="18" t="s">
        <v>74</v>
      </c>
      <c r="B15" s="18" t="s">
        <v>210</v>
      </c>
      <c r="C15" s="18" t="s">
        <v>214</v>
      </c>
    </row>
    <row r="18" customFormat="false" ht="15" hidden="false" customHeight="false" outlineLevel="0" collapsed="false">
      <c r="A18" s="6" t="s">
        <v>215</v>
      </c>
    </row>
    <row r="19" customFormat="false" ht="15" hidden="false" customHeight="false" outlineLevel="0" collapsed="false">
      <c r="A19" s="11" t="s">
        <v>216</v>
      </c>
      <c r="B19" s="11" t="s">
        <v>217</v>
      </c>
      <c r="C19" s="11" t="s">
        <v>218</v>
      </c>
      <c r="D19" s="11" t="s">
        <v>219</v>
      </c>
      <c r="E19" s="11" t="s">
        <v>220</v>
      </c>
    </row>
    <row r="20" customFormat="false" ht="15" hidden="false" customHeight="false" outlineLevel="0" collapsed="false">
      <c r="A20" s="4" t="s">
        <v>221</v>
      </c>
      <c r="B20" s="20" t="n">
        <v>1800000</v>
      </c>
      <c r="C20" s="20" t="n">
        <v>2100000</v>
      </c>
      <c r="D20" s="20" t="n">
        <v>2450000</v>
      </c>
      <c r="E20" s="20" t="n">
        <v>2900000</v>
      </c>
    </row>
    <row r="21" customFormat="false" ht="15" hidden="false" customHeight="false" outlineLevel="0" collapsed="false">
      <c r="A21" s="4" t="s">
        <v>222</v>
      </c>
      <c r="B21" s="13" t="s">
        <v>223</v>
      </c>
      <c r="C21" s="13" t="s">
        <v>223</v>
      </c>
      <c r="D21" s="13" t="s">
        <v>224</v>
      </c>
      <c r="E21" s="13" t="s">
        <v>224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9" topLeftCell="A10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20"/>
    <col collapsed="false" customWidth="true" hidden="false" outlineLevel="0" max="3" min="3" style="0" width="40"/>
    <col collapsed="false" customWidth="true" hidden="false" outlineLevel="0" max="4" min="4" style="0" width="66"/>
    <col collapsed="false" customWidth="true" hidden="false" outlineLevel="0" max="5" min="5" style="0" width="20"/>
    <col collapsed="false" customWidth="true" hidden="false" outlineLevel="0" max="6" min="6" style="0" width="34"/>
  </cols>
  <sheetData>
    <row r="1" customFormat="false" ht="21.75" hidden="false" customHeight="true" outlineLevel="0" collapsed="false">
      <c r="A1" s="1" t="s">
        <v>225</v>
      </c>
      <c r="B1" s="1"/>
      <c r="C1" s="1"/>
      <c r="D1" s="1"/>
      <c r="E1" s="1"/>
      <c r="F1" s="1"/>
    </row>
    <row r="2" customFormat="false" ht="15" hidden="false" customHeight="false" outlineLevel="0" collapsed="false">
      <c r="A2" s="2" t="s">
        <v>226</v>
      </c>
      <c r="B2" s="2"/>
      <c r="C2" s="2"/>
      <c r="D2" s="2"/>
      <c r="E2" s="2"/>
      <c r="F2" s="2"/>
    </row>
    <row r="3" customFormat="false" ht="15" hidden="false" customHeight="false" outlineLevel="0" collapsed="false">
      <c r="A3" s="6" t="s">
        <v>227</v>
      </c>
    </row>
    <row r="4" customFormat="false" ht="15" hidden="false" customHeight="false" outlineLevel="0" collapsed="false">
      <c r="A4" s="21" t="s">
        <v>228</v>
      </c>
      <c r="B4" s="22" t="s">
        <v>117</v>
      </c>
    </row>
    <row r="5" customFormat="false" ht="15" hidden="false" customHeight="false" outlineLevel="0" collapsed="false">
      <c r="A5" s="21" t="s">
        <v>229</v>
      </c>
      <c r="B5" s="22" t="s">
        <v>59</v>
      </c>
    </row>
    <row r="6" customFormat="false" ht="15" hidden="false" customHeight="false" outlineLevel="0" collapsed="false">
      <c r="A6" s="21" t="s">
        <v>230</v>
      </c>
      <c r="B6" s="22" t="s">
        <v>219</v>
      </c>
    </row>
    <row r="7" customFormat="false" ht="15" hidden="false" customHeight="false" outlineLevel="0" collapsed="false">
      <c r="A7" s="21" t="s">
        <v>231</v>
      </c>
      <c r="B7" s="22" t="s">
        <v>50</v>
      </c>
    </row>
    <row r="9" customFormat="false" ht="15" hidden="false" customHeight="false" outlineLevel="0" collapsed="false">
      <c r="A9" s="11" t="s">
        <v>232</v>
      </c>
      <c r="B9" s="11" t="s">
        <v>233</v>
      </c>
      <c r="C9" s="11" t="s">
        <v>234</v>
      </c>
      <c r="D9" s="11" t="s">
        <v>235</v>
      </c>
      <c r="E9" s="11" t="s">
        <v>236</v>
      </c>
      <c r="F9" s="11" t="s">
        <v>237</v>
      </c>
    </row>
    <row r="10" customFormat="false" ht="30" hidden="false" customHeight="true" outlineLevel="0" collapsed="false">
      <c r="A10" s="13" t="n">
        <v>1</v>
      </c>
      <c r="B10" s="4" t="s">
        <v>238</v>
      </c>
      <c r="C10" s="5" t="s">
        <v>239</v>
      </c>
      <c r="D10" s="23" t="s">
        <v>240</v>
      </c>
      <c r="E10" s="20" t="n">
        <f aca="false">VLOOKUP($B$5,Master!$A$2:$D$6,3,FALSE())</f>
        <v>9800</v>
      </c>
      <c r="F10" s="24" t="s">
        <v>241</v>
      </c>
    </row>
    <row r="11" customFormat="false" ht="30" hidden="false" customHeight="true" outlineLevel="0" collapsed="false">
      <c r="A11" s="13" t="n">
        <v>2</v>
      </c>
      <c r="B11" s="4" t="s">
        <v>238</v>
      </c>
      <c r="C11" s="5" t="s">
        <v>242</v>
      </c>
      <c r="D11" s="23" t="s">
        <v>243</v>
      </c>
      <c r="E11" s="13" t="str">
        <f aca="false">VLOOKUP($B$5,Master!$A$2:$D$6,4,FALSE())</f>
        <v>Priya Nair</v>
      </c>
      <c r="F11" s="24" t="s">
        <v>244</v>
      </c>
    </row>
    <row r="12" customFormat="false" ht="30" hidden="false" customHeight="true" outlineLevel="0" collapsed="false">
      <c r="A12" s="13" t="n">
        <v>3</v>
      </c>
      <c r="B12" s="4" t="s">
        <v>245</v>
      </c>
      <c r="C12" s="5" t="s">
        <v>246</v>
      </c>
      <c r="D12" s="23" t="s">
        <v>247</v>
      </c>
      <c r="E12" s="13" t="str">
        <f aca="false">IFERROR(VLOOKUP($B$4,Master!$A$2:$D$6,3,FALSE()),"Not in master")</f>
        <v>Not in master</v>
      </c>
      <c r="F12" s="24" t="s">
        <v>248</v>
      </c>
    </row>
    <row r="13" customFormat="false" ht="30" hidden="false" customHeight="true" outlineLevel="0" collapsed="false">
      <c r="A13" s="13" t="n">
        <v>4</v>
      </c>
      <c r="B13" s="4" t="s">
        <v>249</v>
      </c>
      <c r="C13" s="5" t="s">
        <v>250</v>
      </c>
      <c r="D13" s="23" t="s">
        <v>251</v>
      </c>
      <c r="E13" s="20" t="n">
        <f aca="false">HLOOKUP($B$6,Master!$B$19:$E$21,2,FALSE())</f>
        <v>2450000</v>
      </c>
      <c r="F13" s="24" t="s">
        <v>252</v>
      </c>
    </row>
    <row r="14" customFormat="false" ht="30" hidden="false" customHeight="true" outlineLevel="0" collapsed="false">
      <c r="A14" s="13" t="n">
        <v>5</v>
      </c>
      <c r="B14" s="4" t="s">
        <v>249</v>
      </c>
      <c r="C14" s="5" t="s">
        <v>253</v>
      </c>
      <c r="D14" s="23" t="s">
        <v>254</v>
      </c>
      <c r="E14" s="13" t="str">
        <f aca="false">HLOOKUP($B$6,Master!$B$19:$E$21,3,FALSE())</f>
        <v>D. Kulkarni</v>
      </c>
      <c r="F14" s="24"/>
    </row>
    <row r="15" customFormat="false" ht="30" hidden="false" customHeight="true" outlineLevel="0" collapsed="false">
      <c r="A15" s="13" t="n">
        <v>6</v>
      </c>
      <c r="B15" s="4" t="s">
        <v>255</v>
      </c>
      <c r="C15" s="5" t="s">
        <v>256</v>
      </c>
      <c r="D15" s="23" t="s">
        <v>257</v>
      </c>
      <c r="E15" s="25" t="n">
        <f aca="false">INDEX(Data!$H$2:$H$121,MATCH($B$4,Data!$A$2:$A$121,0))</f>
        <v>5641.16</v>
      </c>
      <c r="F15" s="24" t="s">
        <v>258</v>
      </c>
    </row>
    <row r="16" customFormat="false" ht="30" hidden="false" customHeight="true" outlineLevel="0" collapsed="false">
      <c r="A16" s="13" t="n">
        <v>7</v>
      </c>
      <c r="B16" s="4" t="s">
        <v>255</v>
      </c>
      <c r="C16" s="5" t="s">
        <v>259</v>
      </c>
      <c r="D16" s="23" t="s">
        <v>260</v>
      </c>
      <c r="E16" s="13" t="str">
        <f aca="false">INDEX(Data!$F$2:$F$121,MATCH($B$4,Data!$A$2:$A$121,0))</f>
        <v>GST Filing</v>
      </c>
      <c r="F16" s="24"/>
    </row>
    <row r="17" customFormat="false" ht="30" hidden="false" customHeight="true" outlineLevel="0" collapsed="false">
      <c r="A17" s="13" t="n">
        <v>8</v>
      </c>
      <c r="B17" s="4" t="s">
        <v>261</v>
      </c>
      <c r="C17" s="5" t="s">
        <v>262</v>
      </c>
      <c r="D17" s="23" t="s">
        <v>263</v>
      </c>
      <c r="E17" s="13" t="str">
        <f aca="false">INDEX(Master!$A$10:$C$15,MATCH($B$7,Master!$A$10:$A$15,0),MATCH("manager",Master!$A$9:$C$9,0))</f>
        <v>M. Reddy</v>
      </c>
      <c r="F17" s="24" t="s">
        <v>264</v>
      </c>
    </row>
    <row r="18" customFormat="false" ht="30" hidden="false" customHeight="true" outlineLevel="0" collapsed="false">
      <c r="A18" s="13" t="n">
        <v>9</v>
      </c>
      <c r="B18" s="4" t="s">
        <v>265</v>
      </c>
      <c r="C18" s="5" t="s">
        <v>266</v>
      </c>
      <c r="D18" s="23" t="s">
        <v>267</v>
      </c>
      <c r="E18" s="20" t="n">
        <f aca="false">VLOOKUP($B$5,Master!$A$2:$D$6,3,FALSE())</f>
        <v>9800</v>
      </c>
      <c r="F18" s="24" t="s">
        <v>268</v>
      </c>
    </row>
    <row r="19" customFormat="false" ht="30" hidden="false" customHeight="true" outlineLevel="0" collapsed="false">
      <c r="A19" s="13" t="n">
        <v>10</v>
      </c>
      <c r="B19" s="4" t="s">
        <v>269</v>
      </c>
      <c r="C19" s="5" t="s">
        <v>270</v>
      </c>
      <c r="D19" s="23" t="s">
        <v>271</v>
      </c>
      <c r="E19" s="13" t="str">
        <f aca="false">LOOKUP(2,1/(Data!$F$2:$F$121=$B$5),Data!$A$2:$A$121)</f>
        <v>TX000105</v>
      </c>
      <c r="F19" s="24" t="s">
        <v>272</v>
      </c>
    </row>
    <row r="20" customFormat="false" ht="30" hidden="false" customHeight="true" outlineLevel="0" collapsed="false">
      <c r="A20" s="13" t="n">
        <v>11</v>
      </c>
      <c r="B20" s="4" t="s">
        <v>273</v>
      </c>
      <c r="C20" s="5" t="s">
        <v>274</v>
      </c>
      <c r="D20" s="23" t="s">
        <v>275</v>
      </c>
      <c r="E20" s="13" t="str">
        <f aca="false">CHOOSE(2,"Bronze","Silver","Gold","Platinum")</f>
        <v>Silver</v>
      </c>
      <c r="F20" s="24" t="s">
        <v>276</v>
      </c>
    </row>
    <row r="21" customFormat="false" ht="30" hidden="false" customHeight="true" outlineLevel="0" collapsed="false">
      <c r="A21" s="13" t="n">
        <v>12</v>
      </c>
      <c r="B21" s="4" t="s">
        <v>277</v>
      </c>
      <c r="C21" s="5" t="s">
        <v>278</v>
      </c>
      <c r="D21" s="23" t="s">
        <v>279</v>
      </c>
      <c r="E21" s="13" t="str">
        <f aca="false">CHOOSE(MATCH($B$7,Master!$A$10:$A$15,0),"Zone-A","Zone-B","Zone-C","Zone-B","Zone-A","Zone-C")</f>
        <v>Zone-B</v>
      </c>
      <c r="F21" s="24" t="s">
        <v>280</v>
      </c>
    </row>
    <row r="22" customFormat="false" ht="30" hidden="false" customHeight="true" outlineLevel="0" collapsed="false">
      <c r="A22" s="13" t="n">
        <v>13</v>
      </c>
      <c r="B22" s="4" t="s">
        <v>281</v>
      </c>
      <c r="C22" s="5" t="s">
        <v>282</v>
      </c>
      <c r="D22" s="23" t="s">
        <v>283</v>
      </c>
      <c r="E22" s="13" t="str">
        <f aca="true">CHOOSE(WEEKDAY(TODAY(),2),"Monday","Tuesday","Wednesday","Thursday","Friday","Saturday","Sunday")</f>
        <v>Thursday</v>
      </c>
      <c r="F22" s="24"/>
    </row>
  </sheetData>
  <mergeCells count="2">
    <mergeCell ref="A1:F1"/>
    <mergeCell ref="A2:F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8" topLeftCell="A9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20"/>
    <col collapsed="false" customWidth="true" hidden="false" outlineLevel="0" max="3" min="3" style="0" width="40"/>
    <col collapsed="false" customWidth="true" hidden="false" outlineLevel="0" max="4" min="4" style="0" width="66"/>
    <col collapsed="false" customWidth="true" hidden="false" outlineLevel="0" max="5" min="5" style="0" width="20"/>
    <col collapsed="false" customWidth="true" hidden="false" outlineLevel="0" max="6" min="6" style="0" width="34"/>
  </cols>
  <sheetData>
    <row r="1" customFormat="false" ht="21.75" hidden="false" customHeight="true" outlineLevel="0" collapsed="false">
      <c r="A1" s="1" t="s">
        <v>284</v>
      </c>
      <c r="B1" s="1"/>
      <c r="C1" s="1"/>
      <c r="D1" s="1"/>
      <c r="E1" s="1"/>
      <c r="F1" s="1"/>
    </row>
    <row r="2" customFormat="false" ht="15" hidden="false" customHeight="false" outlineLevel="0" collapsed="false">
      <c r="A2" s="2" t="s">
        <v>285</v>
      </c>
      <c r="B2" s="2"/>
      <c r="C2" s="2"/>
      <c r="D2" s="2"/>
      <c r="E2" s="2"/>
      <c r="F2" s="2"/>
    </row>
    <row r="3" customFormat="false" ht="15" hidden="false" customHeight="false" outlineLevel="0" collapsed="false">
      <c r="A3" s="6" t="s">
        <v>227</v>
      </c>
    </row>
    <row r="4" customFormat="false" ht="15" hidden="false" customHeight="false" outlineLevel="0" collapsed="false">
      <c r="A4" s="21" t="s">
        <v>231</v>
      </c>
      <c r="B4" s="22" t="s">
        <v>50</v>
      </c>
    </row>
    <row r="5" customFormat="false" ht="15" hidden="false" customHeight="false" outlineLevel="0" collapsed="false">
      <c r="A5" s="21" t="s">
        <v>229</v>
      </c>
      <c r="B5" s="22" t="s">
        <v>81</v>
      </c>
    </row>
    <row r="6" customFormat="false" ht="15" hidden="false" customHeight="false" outlineLevel="0" collapsed="false">
      <c r="A6" s="21" t="s">
        <v>286</v>
      </c>
      <c r="B6" s="26" t="n">
        <v>10000</v>
      </c>
    </row>
    <row r="8" customFormat="false" ht="15" hidden="false" customHeight="false" outlineLevel="0" collapsed="false">
      <c r="A8" s="11" t="s">
        <v>232</v>
      </c>
      <c r="B8" s="11" t="s">
        <v>233</v>
      </c>
      <c r="C8" s="11" t="s">
        <v>234</v>
      </c>
      <c r="D8" s="11" t="s">
        <v>235</v>
      </c>
      <c r="E8" s="11" t="s">
        <v>236</v>
      </c>
      <c r="F8" s="11" t="s">
        <v>237</v>
      </c>
    </row>
    <row r="9" customFormat="false" ht="30" hidden="false" customHeight="true" outlineLevel="0" collapsed="false">
      <c r="A9" s="13" t="n">
        <v>1</v>
      </c>
      <c r="B9" s="4" t="s">
        <v>287</v>
      </c>
      <c r="C9" s="5" t="s">
        <v>288</v>
      </c>
      <c r="D9" s="23" t="s">
        <v>289</v>
      </c>
      <c r="E9" s="25" t="n">
        <f aca="false">SUM(Data!$H$2:$H$121)</f>
        <v>2886948.21</v>
      </c>
      <c r="F9" s="24"/>
    </row>
    <row r="10" customFormat="false" ht="30" hidden="false" customHeight="true" outlineLevel="0" collapsed="false">
      <c r="A10" s="13" t="n">
        <v>2</v>
      </c>
      <c r="B10" s="4" t="s">
        <v>290</v>
      </c>
      <c r="C10" s="5" t="s">
        <v>291</v>
      </c>
      <c r="D10" s="23" t="s">
        <v>292</v>
      </c>
      <c r="E10" s="25" t="n">
        <f aca="false">SUMIF(Data!$D$2:$D$121,$B$4,Data!$H$2:$H$121)</f>
        <v>564865.61</v>
      </c>
      <c r="F10" s="24" t="s">
        <v>293</v>
      </c>
    </row>
    <row r="11" customFormat="false" ht="30" hidden="false" customHeight="true" outlineLevel="0" collapsed="false">
      <c r="A11" s="13" t="n">
        <v>3</v>
      </c>
      <c r="B11" s="4" t="s">
        <v>294</v>
      </c>
      <c r="C11" s="5" t="s">
        <v>295</v>
      </c>
      <c r="D11" s="23" t="s">
        <v>296</v>
      </c>
      <c r="E11" s="25" t="n">
        <f aca="false">SUMIFS(Data!$H$2:$H$121,Data!$D$2:$D$121,$B$4,Data!$F$2:$F$121,$B$5)</f>
        <v>148968.56</v>
      </c>
      <c r="F11" s="24" t="s">
        <v>297</v>
      </c>
    </row>
    <row r="12" customFormat="false" ht="30" hidden="false" customHeight="true" outlineLevel="0" collapsed="false">
      <c r="A12" s="13" t="n">
        <v>4</v>
      </c>
      <c r="B12" s="4" t="s">
        <v>298</v>
      </c>
      <c r="C12" s="5" t="s">
        <v>299</v>
      </c>
      <c r="D12" s="23" t="s">
        <v>300</v>
      </c>
      <c r="E12" s="25" t="n">
        <f aca="false">SUMIFS(Data!$H$2:$H$121,Data!$L$2:$L$121,"Completed",Data!$D$2:$D$121,$B$4,Data!$H$2:$H$121,"&gt;"&amp;$B$6)</f>
        <v>423815.76</v>
      </c>
      <c r="F12" s="24" t="s">
        <v>301</v>
      </c>
    </row>
    <row r="13" customFormat="false" ht="30" hidden="false" customHeight="true" outlineLevel="0" collapsed="false">
      <c r="A13" s="13" t="n">
        <v>5</v>
      </c>
      <c r="B13" s="4" t="s">
        <v>302</v>
      </c>
      <c r="C13" s="5" t="s">
        <v>303</v>
      </c>
      <c r="D13" s="23" t="s">
        <v>304</v>
      </c>
      <c r="E13" s="20" t="n">
        <f aca="false">COUNT(Data!$H$2:$H$121)</f>
        <v>120</v>
      </c>
      <c r="F13" s="24" t="s">
        <v>305</v>
      </c>
    </row>
    <row r="14" customFormat="false" ht="30" hidden="false" customHeight="true" outlineLevel="0" collapsed="false">
      <c r="A14" s="13" t="n">
        <v>6</v>
      </c>
      <c r="B14" s="4" t="s">
        <v>306</v>
      </c>
      <c r="C14" s="5" t="s">
        <v>307</v>
      </c>
      <c r="D14" s="23" t="s">
        <v>308</v>
      </c>
      <c r="E14" s="20" t="n">
        <f aca="false">COUNTA(Data!$F$2:$F$121)</f>
        <v>120</v>
      </c>
      <c r="F14" s="24" t="s">
        <v>309</v>
      </c>
    </row>
    <row r="15" customFormat="false" ht="30" hidden="false" customHeight="true" outlineLevel="0" collapsed="false">
      <c r="A15" s="13" t="n">
        <v>7</v>
      </c>
      <c r="B15" s="4" t="s">
        <v>310</v>
      </c>
      <c r="C15" s="5" t="s">
        <v>311</v>
      </c>
      <c r="D15" s="23" t="s">
        <v>312</v>
      </c>
      <c r="E15" s="20" t="n">
        <f aca="false">COUNTIF(Data!$L$2:$L$121,"Refunded")</f>
        <v>7</v>
      </c>
      <c r="F15" s="24"/>
    </row>
    <row r="16" customFormat="false" ht="30" hidden="false" customHeight="true" outlineLevel="0" collapsed="false">
      <c r="A16" s="13" t="n">
        <v>8</v>
      </c>
      <c r="B16" s="4" t="s">
        <v>313</v>
      </c>
      <c r="C16" s="5" t="s">
        <v>314</v>
      </c>
      <c r="D16" s="23" t="s">
        <v>315</v>
      </c>
      <c r="E16" s="20" t="n">
        <f aca="false">COUNTIFS(Data!$E$2:$E$121,"New",Data!$D$2:$D$121,$B$4)</f>
        <v>3</v>
      </c>
      <c r="F16" s="24"/>
    </row>
    <row r="17" customFormat="false" ht="30" hidden="false" customHeight="true" outlineLevel="0" collapsed="false">
      <c r="A17" s="13" t="n">
        <v>9</v>
      </c>
      <c r="B17" s="4" t="s">
        <v>316</v>
      </c>
      <c r="C17" s="5" t="s">
        <v>317</v>
      </c>
      <c r="D17" s="23" t="s">
        <v>318</v>
      </c>
      <c r="E17" s="20" t="n">
        <f aca="false">COUNTIFS(Data!$H$2:$H$121,"&gt;=10000",Data!$H$2:$H$121,"&lt;=30000")</f>
        <v>52</v>
      </c>
      <c r="F17" s="24" t="s">
        <v>319</v>
      </c>
    </row>
    <row r="18" customFormat="false" ht="30" hidden="false" customHeight="true" outlineLevel="0" collapsed="false">
      <c r="A18" s="13" t="n">
        <v>10</v>
      </c>
      <c r="B18" s="4" t="s">
        <v>320</v>
      </c>
      <c r="C18" s="5" t="s">
        <v>321</v>
      </c>
      <c r="D18" s="23" t="s">
        <v>322</v>
      </c>
      <c r="E18" s="25" t="n">
        <f aca="false">AVERAGE(Data!$H$2:$H$121)</f>
        <v>24057.90175</v>
      </c>
      <c r="F18" s="24"/>
    </row>
    <row r="19" customFormat="false" ht="30" hidden="false" customHeight="true" outlineLevel="0" collapsed="false">
      <c r="A19" s="13" t="n">
        <v>11</v>
      </c>
      <c r="B19" s="4" t="s">
        <v>323</v>
      </c>
      <c r="C19" s="5" t="s">
        <v>324</v>
      </c>
      <c r="D19" s="23" t="s">
        <v>325</v>
      </c>
      <c r="E19" s="25" t="n">
        <f aca="false">AVERAGEIF(Data!$F$2:$F$121,$B$5,Data!$H$2:$H$121)</f>
        <v>27764.7574074074</v>
      </c>
      <c r="F19" s="24"/>
    </row>
    <row r="20" customFormat="false" ht="30" hidden="false" customHeight="true" outlineLevel="0" collapsed="false">
      <c r="A20" s="13" t="n">
        <v>12</v>
      </c>
      <c r="B20" s="4" t="s">
        <v>326</v>
      </c>
      <c r="C20" s="5" t="s">
        <v>327</v>
      </c>
      <c r="D20" s="23" t="s">
        <v>328</v>
      </c>
      <c r="E20" s="25" t="n">
        <f aca="false">AVERAGEIFS(Data!$H$2:$H$121,Data!$F$2:$F$121,$B$5,Data!$K$2:$K$121,"UPI")</f>
        <v>29722.23</v>
      </c>
      <c r="F20" s="24"/>
    </row>
    <row r="21" customFormat="false" ht="30" hidden="false" customHeight="true" outlineLevel="0" collapsed="false">
      <c r="A21" s="13" t="n">
        <v>13</v>
      </c>
      <c r="B21" s="4" t="s">
        <v>329</v>
      </c>
      <c r="C21" s="5" t="s">
        <v>330</v>
      </c>
      <c r="D21" s="23" t="s">
        <v>331</v>
      </c>
      <c r="E21" s="25" t="n">
        <f aca="false">MAX(Data!$H$2:$H$121)</f>
        <v>53976.12</v>
      </c>
      <c r="F21" s="24"/>
    </row>
    <row r="22" customFormat="false" ht="30" hidden="false" customHeight="true" outlineLevel="0" collapsed="false">
      <c r="A22" s="13" t="n">
        <v>14</v>
      </c>
      <c r="B22" s="4" t="s">
        <v>332</v>
      </c>
      <c r="C22" s="5" t="s">
        <v>333</v>
      </c>
      <c r="D22" s="23" t="s">
        <v>334</v>
      </c>
      <c r="E22" s="25" t="n">
        <f aca="false">MIN(Data!$H$2:$H$121)</f>
        <v>-53395.17</v>
      </c>
      <c r="F22" s="24"/>
    </row>
    <row r="23" customFormat="false" ht="30" hidden="false" customHeight="true" outlineLevel="0" collapsed="false">
      <c r="A23" s="13" t="n">
        <v>15</v>
      </c>
      <c r="B23" s="4" t="s">
        <v>335</v>
      </c>
      <c r="C23" s="5" t="s">
        <v>336</v>
      </c>
      <c r="D23" s="23" t="s">
        <v>337</v>
      </c>
      <c r="E23" s="25" t="n">
        <f aca="false">_xlfn.MAXIFS(Data!$H$2:$H$121,Data!$D$2:$D$121,$B$4)</f>
        <v>53976.12</v>
      </c>
      <c r="F23" s="24" t="s">
        <v>338</v>
      </c>
    </row>
    <row r="24" customFormat="false" ht="30" hidden="false" customHeight="true" outlineLevel="0" collapsed="false">
      <c r="A24" s="13" t="n">
        <v>16</v>
      </c>
      <c r="B24" s="4" t="s">
        <v>339</v>
      </c>
      <c r="C24" s="5" t="s">
        <v>340</v>
      </c>
      <c r="D24" s="23" t="s">
        <v>341</v>
      </c>
      <c r="E24" s="20" t="n">
        <f aca="false">ROUND(AVERAGE(Data!$H$2:$H$121),0)</f>
        <v>24058</v>
      </c>
      <c r="F24" s="24" t="s">
        <v>342</v>
      </c>
    </row>
    <row r="25" customFormat="false" ht="30" hidden="false" customHeight="true" outlineLevel="0" collapsed="false">
      <c r="A25" s="13" t="n">
        <v>17</v>
      </c>
      <c r="B25" s="4" t="s">
        <v>343</v>
      </c>
      <c r="C25" s="5" t="s">
        <v>344</v>
      </c>
      <c r="D25" s="23" t="s">
        <v>345</v>
      </c>
      <c r="E25" s="20" t="n">
        <f aca="false">ROUNDUP(2451.11,0)</f>
        <v>2452</v>
      </c>
      <c r="F25" s="24"/>
    </row>
    <row r="26" customFormat="false" ht="30" hidden="false" customHeight="true" outlineLevel="0" collapsed="false">
      <c r="A26" s="13" t="n">
        <v>18</v>
      </c>
      <c r="B26" s="4" t="s">
        <v>346</v>
      </c>
      <c r="C26" s="5" t="s">
        <v>347</v>
      </c>
      <c r="D26" s="23" t="s">
        <v>348</v>
      </c>
      <c r="E26" s="20" t="n">
        <f aca="false">ROUNDDOWN(2451.99,0)</f>
        <v>2451</v>
      </c>
      <c r="F26" s="24"/>
    </row>
    <row r="27" customFormat="false" ht="30" hidden="false" customHeight="true" outlineLevel="0" collapsed="false">
      <c r="A27" s="13" t="n">
        <v>19</v>
      </c>
      <c r="B27" s="4" t="s">
        <v>349</v>
      </c>
      <c r="C27" s="5" t="s">
        <v>350</v>
      </c>
      <c r="D27" s="23" t="s">
        <v>351</v>
      </c>
      <c r="E27" s="25" t="n">
        <f aca="false">SUBTOTAL(109,Data!$H$2:$H$121)</f>
        <v>2886948.21</v>
      </c>
      <c r="F27" s="24" t="s">
        <v>352</v>
      </c>
    </row>
    <row r="28" customFormat="false" ht="30" hidden="false" customHeight="true" outlineLevel="0" collapsed="false">
      <c r="A28" s="13" t="n">
        <v>20</v>
      </c>
      <c r="B28" s="4" t="s">
        <v>353</v>
      </c>
      <c r="C28" s="5" t="s">
        <v>354</v>
      </c>
      <c r="D28" s="23" t="s">
        <v>355</v>
      </c>
      <c r="E28" s="20" t="n">
        <f aca="false">SUBTOTAL(103,Data!$A$2:$A$121)</f>
        <v>120</v>
      </c>
      <c r="F28" s="24" t="s">
        <v>356</v>
      </c>
    </row>
    <row r="29" customFormat="false" ht="30" hidden="false" customHeight="true" outlineLevel="0" collapsed="false">
      <c r="A29" s="13" t="n">
        <v>21</v>
      </c>
      <c r="B29" s="4" t="s">
        <v>357</v>
      </c>
      <c r="C29" s="5" t="s">
        <v>358</v>
      </c>
      <c r="D29" s="23" t="s">
        <v>359</v>
      </c>
      <c r="E29" s="25" t="n">
        <f aca="false">SUMPRODUCT(Data!$H$2:$H$121,1-Data!$I$2:$I$121)</f>
        <v>2734507.598</v>
      </c>
      <c r="F29" s="24" t="s">
        <v>360</v>
      </c>
    </row>
  </sheetData>
  <mergeCells count="2">
    <mergeCell ref="A1:F1"/>
    <mergeCell ref="A2:F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7" topLeftCell="A8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20"/>
    <col collapsed="false" customWidth="true" hidden="false" outlineLevel="0" max="3" min="3" style="0" width="40"/>
    <col collapsed="false" customWidth="true" hidden="false" outlineLevel="0" max="4" min="4" style="0" width="66"/>
    <col collapsed="false" customWidth="true" hidden="false" outlineLevel="0" max="5" min="5" style="0" width="20"/>
    <col collapsed="false" customWidth="true" hidden="false" outlineLevel="0" max="6" min="6" style="0" width="34"/>
  </cols>
  <sheetData>
    <row r="1" customFormat="false" ht="21.75" hidden="false" customHeight="true" outlineLevel="0" collapsed="false">
      <c r="A1" s="1" t="s">
        <v>361</v>
      </c>
      <c r="B1" s="1"/>
      <c r="C1" s="1"/>
      <c r="D1" s="1"/>
      <c r="E1" s="1"/>
      <c r="F1" s="1"/>
    </row>
    <row r="2" customFormat="false" ht="15" hidden="false" customHeight="false" outlineLevel="0" collapsed="false">
      <c r="A2" s="2" t="s">
        <v>362</v>
      </c>
      <c r="B2" s="2"/>
      <c r="C2" s="2"/>
      <c r="D2" s="2"/>
      <c r="E2" s="2"/>
      <c r="F2" s="2"/>
    </row>
    <row r="3" customFormat="false" ht="15" hidden="false" customHeight="false" outlineLevel="0" collapsed="false">
      <c r="A3" s="6" t="s">
        <v>227</v>
      </c>
    </row>
    <row r="4" customFormat="false" ht="15" hidden="false" customHeight="false" outlineLevel="0" collapsed="false">
      <c r="A4" s="21" t="s">
        <v>363</v>
      </c>
      <c r="B4" s="22" t="n">
        <v>12</v>
      </c>
    </row>
    <row r="5" customFormat="false" ht="15" hidden="false" customHeight="false" outlineLevel="0" collapsed="false">
      <c r="A5" s="21" t="s">
        <v>364</v>
      </c>
      <c r="B5" s="26" t="n">
        <v>25000</v>
      </c>
    </row>
    <row r="7" customFormat="false" ht="15" hidden="false" customHeight="false" outlineLevel="0" collapsed="false">
      <c r="A7" s="11" t="s">
        <v>232</v>
      </c>
      <c r="B7" s="11" t="s">
        <v>233</v>
      </c>
      <c r="C7" s="11" t="s">
        <v>234</v>
      </c>
      <c r="D7" s="11" t="s">
        <v>235</v>
      </c>
      <c r="E7" s="11" t="s">
        <v>236</v>
      </c>
      <c r="F7" s="11" t="s">
        <v>237</v>
      </c>
    </row>
    <row r="8" customFormat="false" ht="30" hidden="false" customHeight="true" outlineLevel="0" collapsed="false">
      <c r="A8" s="13" t="n">
        <v>1</v>
      </c>
      <c r="B8" s="4" t="s">
        <v>365</v>
      </c>
      <c r="C8" s="5" t="s">
        <v>366</v>
      </c>
      <c r="D8" s="23" t="s">
        <v>367</v>
      </c>
      <c r="E8" s="13" t="str">
        <f aca="false">IF(INDEX(Data!$H$2:$H$121,$B$4-1)&gt;$B$5,"High value","Standard")</f>
        <v>High value</v>
      </c>
      <c r="F8" s="24" t="s">
        <v>368</v>
      </c>
    </row>
    <row r="9" customFormat="false" ht="30" hidden="false" customHeight="true" outlineLevel="0" collapsed="false">
      <c r="A9" s="13" t="n">
        <v>2</v>
      </c>
      <c r="B9" s="4" t="s">
        <v>369</v>
      </c>
      <c r="C9" s="5" t="s">
        <v>370</v>
      </c>
      <c r="D9" s="23" t="s">
        <v>371</v>
      </c>
      <c r="E9" s="13" t="str">
        <f aca="false">IF(INDEX(Data!$H$2:$H$121,$B$4-1)&lt;0,"Refund",IF(INDEX(Data!$H$2:$H$121,$B$4-1)&gt;$B$5,"High","Normal"))</f>
        <v>High</v>
      </c>
      <c r="F9" s="24" t="s">
        <v>372</v>
      </c>
    </row>
    <row r="10" customFormat="false" ht="30" hidden="false" customHeight="true" outlineLevel="0" collapsed="false">
      <c r="A10" s="13" t="n">
        <v>3</v>
      </c>
      <c r="B10" s="4" t="s">
        <v>373</v>
      </c>
      <c r="C10" s="5" t="s">
        <v>374</v>
      </c>
      <c r="D10" s="23" t="s">
        <v>375</v>
      </c>
      <c r="E10" s="13" t="str">
        <f aca="false">_xlfn.IFS(INDEX(Data!$H$2:$H$121,$B$4-1)&lt;0,"Refund",INDEX(Data!$H$2:$H$121,$B$4-1)&gt;$B$5,"High",TRUE(),"Normal")</f>
        <v>High</v>
      </c>
      <c r="F10" s="24" t="s">
        <v>376</v>
      </c>
    </row>
    <row r="11" customFormat="false" ht="30" hidden="false" customHeight="true" outlineLevel="0" collapsed="false">
      <c r="A11" s="13" t="n">
        <v>4</v>
      </c>
      <c r="B11" s="4" t="s">
        <v>377</v>
      </c>
      <c r="C11" s="5" t="s">
        <v>378</v>
      </c>
      <c r="D11" s="23" t="s">
        <v>379</v>
      </c>
      <c r="E11" s="27" t="b">
        <f aca="false">AND(INDEX(Data!$L$2:$L$121,$B$4-1)="Completed",INDEX(Data!$H$2:$H$121,$B$4-1)&gt;$B$5)</f>
        <v>0</v>
      </c>
      <c r="F11" s="24" t="s">
        <v>380</v>
      </c>
    </row>
    <row r="12" customFormat="false" ht="30" hidden="false" customHeight="true" outlineLevel="0" collapsed="false">
      <c r="A12" s="13" t="n">
        <v>5</v>
      </c>
      <c r="B12" s="4" t="s">
        <v>381</v>
      </c>
      <c r="C12" s="5" t="s">
        <v>382</v>
      </c>
      <c r="D12" s="23" t="s">
        <v>383</v>
      </c>
      <c r="E12" s="27" t="b">
        <f aca="false">OR(INDEX(Data!$E$2:$E$121,$B$4-1)="New",INDEX(Data!$M$2:$M$121,$B$4-1)="Referral")</f>
        <v>1</v>
      </c>
      <c r="F12" s="24"/>
    </row>
    <row r="13" customFormat="false" ht="30" hidden="false" customHeight="true" outlineLevel="0" collapsed="false">
      <c r="A13" s="13" t="n">
        <v>6</v>
      </c>
      <c r="B13" s="4" t="s">
        <v>384</v>
      </c>
      <c r="C13" s="5" t="s">
        <v>385</v>
      </c>
      <c r="D13" s="23" t="s">
        <v>386</v>
      </c>
      <c r="E13" s="27" t="b">
        <f aca="false">NOT(INDEX(Data!$L$2:$L$121,$B$4-1)="Completed")</f>
        <v>1</v>
      </c>
      <c r="F13" s="24"/>
    </row>
    <row r="14" customFormat="false" ht="30" hidden="false" customHeight="true" outlineLevel="0" collapsed="false">
      <c r="A14" s="13" t="n">
        <v>7</v>
      </c>
      <c r="B14" s="4" t="s">
        <v>387</v>
      </c>
      <c r="C14" s="5" t="s">
        <v>388</v>
      </c>
      <c r="D14" s="23" t="s">
        <v>389</v>
      </c>
      <c r="E14" s="13" t="str">
        <f aca="false">IF(AND(INDEX(Data!$N$2:$N$121,$B$4-1)&gt;=3,INDEX(Data!$H$2:$H$121,$B$4-1)&gt;$B$5),"Escalate to CS head","Routine")</f>
        <v>Routine</v>
      </c>
      <c r="F14" s="24"/>
    </row>
    <row r="15" customFormat="false" ht="30" hidden="false" customHeight="true" outlineLevel="0" collapsed="false">
      <c r="A15" s="13" t="n">
        <v>8</v>
      </c>
      <c r="B15" s="4" t="s">
        <v>390</v>
      </c>
      <c r="C15" s="5" t="s">
        <v>391</v>
      </c>
      <c r="D15" s="23" t="s">
        <v>392</v>
      </c>
      <c r="E15" s="13" t="str">
        <f aca="false">IF(OR(INDEX(Data!$L$2:$L$121,$B$4-1)="Refunded",INDEX(Data!$L$2:$L$121,$B$4-1)="Cancelled"),"Finance review","OK")</f>
        <v>OK</v>
      </c>
      <c r="F15" s="24"/>
    </row>
    <row r="16" customFormat="false" ht="30" hidden="false" customHeight="true" outlineLevel="0" collapsed="false">
      <c r="A16" s="13" t="n">
        <v>9</v>
      </c>
      <c r="B16" s="4" t="s">
        <v>393</v>
      </c>
      <c r="C16" s="5" t="s">
        <v>394</v>
      </c>
      <c r="D16" s="23" t="s">
        <v>395</v>
      </c>
      <c r="E16" s="13" t="str">
        <f aca="false">IFERROR(100/0,"Cannot divide by zero")</f>
        <v>Cannot divide by zero</v>
      </c>
      <c r="F16" s="24" t="s">
        <v>396</v>
      </c>
    </row>
    <row r="17" customFormat="false" ht="30" hidden="false" customHeight="true" outlineLevel="0" collapsed="false">
      <c r="A17" s="13" t="n">
        <v>10</v>
      </c>
      <c r="B17" s="4" t="s">
        <v>397</v>
      </c>
      <c r="C17" s="5" t="s">
        <v>398</v>
      </c>
      <c r="D17" s="23" t="s">
        <v>399</v>
      </c>
      <c r="E17" s="28" t="n">
        <f aca="false">IFERROR(INDEX(Data!$I$2:$I$121,$B$4-1)*INDEX(Data!$H$2:$H$121,$B$4-1)/INDEX(Data!$H$2:$H$121,$B$4-1),0)</f>
        <v>0</v>
      </c>
      <c r="F17" s="24"/>
    </row>
    <row r="18" customFormat="false" ht="30" hidden="false" customHeight="true" outlineLevel="0" collapsed="false">
      <c r="A18" s="13" t="n">
        <v>11</v>
      </c>
      <c r="B18" s="4" t="s">
        <v>400</v>
      </c>
      <c r="C18" s="5" t="s">
        <v>401</v>
      </c>
      <c r="D18" s="23" t="s">
        <v>402</v>
      </c>
      <c r="E18" s="13" t="str">
        <f aca="false">_xlfn.IFNA(VLOOKUP("Zebra Plan",Master!$A$2:$D$6,3,FALSE()),"Product not in master")</f>
        <v>Product not in master</v>
      </c>
      <c r="F18" s="24" t="s">
        <v>403</v>
      </c>
    </row>
    <row r="19" customFormat="false" ht="30" hidden="false" customHeight="true" outlineLevel="0" collapsed="false">
      <c r="A19" s="13" t="n">
        <v>12</v>
      </c>
      <c r="B19" s="4" t="s">
        <v>404</v>
      </c>
      <c r="C19" s="5" t="s">
        <v>405</v>
      </c>
      <c r="D19" s="23" t="s">
        <v>406</v>
      </c>
      <c r="E19" s="13" t="str">
        <f aca="false">IF(COUNTIF(Data!$A$2:$A$121,INDEX(Data!$A$2:$A$121,$B$4-1))&gt;1,"Duplicate","Unique")</f>
        <v>Unique</v>
      </c>
      <c r="F19" s="24"/>
    </row>
  </sheetData>
  <mergeCells count="2">
    <mergeCell ref="A1:F1"/>
    <mergeCell ref="A2:F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8" topLeftCell="A9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20"/>
    <col collapsed="false" customWidth="true" hidden="false" outlineLevel="0" max="3" min="3" style="0" width="40"/>
    <col collapsed="false" customWidth="true" hidden="false" outlineLevel="0" max="4" min="4" style="0" width="66"/>
    <col collapsed="false" customWidth="true" hidden="false" outlineLevel="0" max="5" min="5" style="0" width="20"/>
    <col collapsed="false" customWidth="true" hidden="false" outlineLevel="0" max="6" min="6" style="0" width="34"/>
  </cols>
  <sheetData>
    <row r="1" customFormat="false" ht="21.75" hidden="false" customHeight="true" outlineLevel="0" collapsed="false">
      <c r="A1" s="1" t="s">
        <v>407</v>
      </c>
      <c r="B1" s="1"/>
      <c r="C1" s="1"/>
      <c r="D1" s="1"/>
      <c r="E1" s="1"/>
      <c r="F1" s="1"/>
    </row>
    <row r="2" customFormat="false" ht="15" hidden="false" customHeight="false" outlineLevel="0" collapsed="false">
      <c r="A2" s="2" t="s">
        <v>408</v>
      </c>
      <c r="B2" s="2"/>
      <c r="C2" s="2"/>
      <c r="D2" s="2"/>
      <c r="E2" s="2"/>
      <c r="F2" s="2"/>
    </row>
    <row r="3" customFormat="false" ht="15" hidden="false" customHeight="false" outlineLevel="0" collapsed="false">
      <c r="A3" s="6" t="s">
        <v>227</v>
      </c>
    </row>
    <row r="4" customFormat="false" ht="15" hidden="false" customHeight="false" outlineLevel="0" collapsed="false">
      <c r="A4" s="21" t="s">
        <v>409</v>
      </c>
      <c r="B4" s="22" t="s">
        <v>410</v>
      </c>
    </row>
    <row r="5" customFormat="false" ht="15" hidden="false" customHeight="false" outlineLevel="0" collapsed="false">
      <c r="A5" s="21" t="s">
        <v>411</v>
      </c>
      <c r="B5" s="22" t="s">
        <v>412</v>
      </c>
    </row>
    <row r="6" customFormat="false" ht="15" hidden="false" customHeight="false" outlineLevel="0" collapsed="false">
      <c r="A6" s="21" t="s">
        <v>413</v>
      </c>
      <c r="B6" s="22" t="s">
        <v>414</v>
      </c>
    </row>
    <row r="8" customFormat="false" ht="15" hidden="false" customHeight="false" outlineLevel="0" collapsed="false">
      <c r="A8" s="11" t="s">
        <v>232</v>
      </c>
      <c r="B8" s="11" t="s">
        <v>233</v>
      </c>
      <c r="C8" s="11" t="s">
        <v>234</v>
      </c>
      <c r="D8" s="11" t="s">
        <v>235</v>
      </c>
      <c r="E8" s="11" t="s">
        <v>236</v>
      </c>
      <c r="F8" s="11" t="s">
        <v>237</v>
      </c>
    </row>
    <row r="9" customFormat="false" ht="30" hidden="false" customHeight="true" outlineLevel="0" collapsed="false">
      <c r="A9" s="13" t="n">
        <v>1</v>
      </c>
      <c r="B9" s="4" t="s">
        <v>415</v>
      </c>
      <c r="C9" s="5" t="s">
        <v>416</v>
      </c>
      <c r="D9" s="23" t="s">
        <v>417</v>
      </c>
      <c r="E9" s="13" t="str">
        <f aca="false">CONCATENATE("Txn ",Data!A2," | ",Data!F2)</f>
        <v>Txn TX000001 | Compliance Suite</v>
      </c>
      <c r="F9" s="24" t="s">
        <v>418</v>
      </c>
    </row>
    <row r="10" customFormat="false" ht="30" hidden="false" customHeight="true" outlineLevel="0" collapsed="false">
      <c r="A10" s="13" t="n">
        <v>2</v>
      </c>
      <c r="B10" s="4" t="s">
        <v>419</v>
      </c>
      <c r="C10" s="5" t="s">
        <v>420</v>
      </c>
      <c r="D10" s="23" t="s">
        <v>421</v>
      </c>
      <c r="E10" s="13" t="str">
        <f aca="false">_xlfn.TEXTJOIN(" | ",TRUE(),Data!A2,Data!D2,Data!F2,Data!K2)</f>
        <v>TX000001 | South | Compliance Suite | Bank Transfer</v>
      </c>
      <c r="F10" s="24" t="s">
        <v>422</v>
      </c>
    </row>
    <row r="11" customFormat="false" ht="30" hidden="false" customHeight="true" outlineLevel="0" collapsed="false">
      <c r="A11" s="13" t="n">
        <v>3</v>
      </c>
      <c r="B11" s="4" t="s">
        <v>423</v>
      </c>
      <c r="C11" s="5" t="s">
        <v>424</v>
      </c>
      <c r="D11" s="23" t="s">
        <v>425</v>
      </c>
      <c r="E11" s="13" t="str">
        <f aca="false">LEFT(Data!A2,2)</f>
        <v>TX</v>
      </c>
      <c r="F11" s="24"/>
    </row>
    <row r="12" customFormat="false" ht="30" hidden="false" customHeight="true" outlineLevel="0" collapsed="false">
      <c r="A12" s="13" t="n">
        <v>4</v>
      </c>
      <c r="B12" s="4" t="s">
        <v>426</v>
      </c>
      <c r="C12" s="5" t="s">
        <v>427</v>
      </c>
      <c r="D12" s="23" t="s">
        <v>428</v>
      </c>
      <c r="E12" s="13" t="str">
        <f aca="false">RIGHT(Data!A2,4)</f>
        <v>0001</v>
      </c>
      <c r="F12" s="24"/>
    </row>
    <row r="13" customFormat="false" ht="30" hidden="false" customHeight="true" outlineLevel="0" collapsed="false">
      <c r="A13" s="13" t="n">
        <v>5</v>
      </c>
      <c r="B13" s="4" t="s">
        <v>429</v>
      </c>
      <c r="C13" s="5" t="s">
        <v>430</v>
      </c>
      <c r="D13" s="23" t="s">
        <v>431</v>
      </c>
      <c r="E13" s="13" t="str">
        <f aca="false">MID(Data!A2,3,6)</f>
        <v>000001</v>
      </c>
      <c r="F13" s="24"/>
    </row>
    <row r="14" customFormat="false" ht="30" hidden="false" customHeight="true" outlineLevel="0" collapsed="false">
      <c r="A14" s="13" t="n">
        <v>6</v>
      </c>
      <c r="B14" s="4" t="s">
        <v>432</v>
      </c>
      <c r="C14" s="5" t="s">
        <v>433</v>
      </c>
      <c r="D14" s="23" t="s">
        <v>434</v>
      </c>
      <c r="E14" s="13" t="str">
        <f aca="false">TRIM($B$4)</f>
        <v>abdul AZEEZ</v>
      </c>
      <c r="F14" s="24" t="s">
        <v>435</v>
      </c>
    </row>
    <row r="15" customFormat="false" ht="30" hidden="false" customHeight="true" outlineLevel="0" collapsed="false">
      <c r="A15" s="13" t="n">
        <v>7</v>
      </c>
      <c r="B15" s="4" t="s">
        <v>436</v>
      </c>
      <c r="C15" s="5" t="s">
        <v>437</v>
      </c>
      <c r="D15" s="23" t="s">
        <v>438</v>
      </c>
      <c r="E15" s="13" t="str">
        <f aca="false">UPPER($B$4)</f>
        <v>   ABDUL  AZEEZ   </v>
      </c>
      <c r="F15" s="24"/>
    </row>
    <row r="16" customFormat="false" ht="30" hidden="false" customHeight="true" outlineLevel="0" collapsed="false">
      <c r="A16" s="13" t="n">
        <v>8</v>
      </c>
      <c r="B16" s="4" t="s">
        <v>439</v>
      </c>
      <c r="C16" s="5" t="s">
        <v>440</v>
      </c>
      <c r="D16" s="23" t="s">
        <v>441</v>
      </c>
      <c r="E16" s="13" t="str">
        <f aca="false">LOWER($B$5)</f>
        <v>rahul.menon@apexagi.co.in</v>
      </c>
      <c r="F16" s="24"/>
    </row>
    <row r="17" customFormat="false" ht="30" hidden="false" customHeight="true" outlineLevel="0" collapsed="false">
      <c r="A17" s="13" t="n">
        <v>9</v>
      </c>
      <c r="B17" s="4" t="s">
        <v>442</v>
      </c>
      <c r="C17" s="5" t="s">
        <v>443</v>
      </c>
      <c r="D17" s="23" t="s">
        <v>444</v>
      </c>
      <c r="E17" s="13" t="str">
        <f aca="false">PROPER(TRIM($B$4))</f>
        <v>Abdul Azeez</v>
      </c>
      <c r="F17" s="24" t="s">
        <v>445</v>
      </c>
    </row>
    <row r="18" customFormat="false" ht="30" hidden="false" customHeight="true" outlineLevel="0" collapsed="false">
      <c r="A18" s="13" t="n">
        <v>10</v>
      </c>
      <c r="B18" s="4" t="s">
        <v>446</v>
      </c>
      <c r="C18" s="5" t="s">
        <v>447</v>
      </c>
      <c r="D18" s="23" t="s">
        <v>448</v>
      </c>
      <c r="E18" s="13" t="n">
        <f aca="false">FIND("@",$B$5)</f>
        <v>12</v>
      </c>
      <c r="F18" s="24" t="s">
        <v>449</v>
      </c>
    </row>
    <row r="19" customFormat="false" ht="30" hidden="false" customHeight="true" outlineLevel="0" collapsed="false">
      <c r="A19" s="13" t="n">
        <v>11</v>
      </c>
      <c r="B19" s="4" t="s">
        <v>450</v>
      </c>
      <c r="C19" s="5" t="s">
        <v>451</v>
      </c>
      <c r="D19" s="23" t="s">
        <v>452</v>
      </c>
      <c r="E19" s="13" t="n">
        <f aca="false">SEARCH("MENON",$B$5)</f>
        <v>7</v>
      </c>
      <c r="F19" s="24" t="s">
        <v>453</v>
      </c>
    </row>
    <row r="20" customFormat="false" ht="30" hidden="false" customHeight="true" outlineLevel="0" collapsed="false">
      <c r="A20" s="13" t="n">
        <v>12</v>
      </c>
      <c r="B20" s="4" t="s">
        <v>454</v>
      </c>
      <c r="C20" s="5" t="s">
        <v>455</v>
      </c>
      <c r="D20" s="23" t="s">
        <v>456</v>
      </c>
      <c r="E20" s="13" t="str">
        <f aca="false">LEFT($B$5,FIND("@",$B$5)-1)</f>
        <v>rahul.menon</v>
      </c>
      <c r="F20" s="24" t="s">
        <v>457</v>
      </c>
    </row>
    <row r="21" customFormat="false" ht="30" hidden="false" customHeight="true" outlineLevel="0" collapsed="false">
      <c r="A21" s="13" t="n">
        <v>13</v>
      </c>
      <c r="B21" s="4" t="s">
        <v>458</v>
      </c>
      <c r="C21" s="5" t="s">
        <v>459</v>
      </c>
      <c r="D21" s="23" t="s">
        <v>460</v>
      </c>
      <c r="E21" s="13" t="str">
        <f aca="false">MID($B$5,FIND("@",$B$5)+1,LEN($B$5)-FIND("@",$B$5))</f>
        <v>apexagi.co.in</v>
      </c>
      <c r="F21" s="24"/>
    </row>
    <row r="22" customFormat="false" ht="30" hidden="false" customHeight="true" outlineLevel="0" collapsed="false">
      <c r="A22" s="13" t="n">
        <v>14</v>
      </c>
      <c r="B22" s="4" t="s">
        <v>461</v>
      </c>
      <c r="C22" s="5" t="s">
        <v>462</v>
      </c>
      <c r="D22" s="23" t="s">
        <v>463</v>
      </c>
      <c r="E22" s="13" t="str">
        <f aca="false">SUBSTITUTE($B$6,"-"," / ")</f>
        <v>TX000045 / South / GST Filing</v>
      </c>
      <c r="F22" s="24"/>
    </row>
    <row r="23" customFormat="false" ht="30" hidden="false" customHeight="true" outlineLevel="0" collapsed="false">
      <c r="A23" s="13" t="n">
        <v>15</v>
      </c>
      <c r="B23" s="4" t="s">
        <v>464</v>
      </c>
      <c r="C23" s="5" t="s">
        <v>465</v>
      </c>
      <c r="D23" s="23" t="s">
        <v>466</v>
      </c>
      <c r="E23" s="13" t="str">
        <f aca="false">SUBSTITUTE($B$6,"-"," &gt;&gt; ",2)</f>
        <v>TX000045-South &gt;&gt; GST Filing</v>
      </c>
      <c r="F23" s="24" t="s">
        <v>467</v>
      </c>
    </row>
    <row r="24" customFormat="false" ht="30" hidden="false" customHeight="true" outlineLevel="0" collapsed="false">
      <c r="A24" s="13" t="n">
        <v>16</v>
      </c>
      <c r="B24" s="4" t="s">
        <v>468</v>
      </c>
      <c r="C24" s="5" t="s">
        <v>469</v>
      </c>
      <c r="D24" s="23" t="s">
        <v>470</v>
      </c>
      <c r="E24" s="13" t="str">
        <f aca="false">REPLACE($B$6,1,8,"TX-NEW01")</f>
        <v>TX-NEW01-South-GST Filing</v>
      </c>
      <c r="F24" s="24" t="s">
        <v>471</v>
      </c>
    </row>
    <row r="25" customFormat="false" ht="30" hidden="false" customHeight="true" outlineLevel="0" collapsed="false">
      <c r="A25" s="13" t="n">
        <v>17</v>
      </c>
      <c r="B25" s="4" t="s">
        <v>472</v>
      </c>
      <c r="C25" s="5" t="s">
        <v>473</v>
      </c>
      <c r="D25" s="23" t="s">
        <v>474</v>
      </c>
      <c r="E25" s="13" t="n">
        <f aca="false">LEN($B$6)-LEN(SUBSTITUTE($B$6,"-",""))</f>
        <v>2</v>
      </c>
      <c r="F25" s="24" t="s">
        <v>475</v>
      </c>
    </row>
    <row r="26" customFormat="false" ht="30" hidden="false" customHeight="true" outlineLevel="0" collapsed="false">
      <c r="A26" s="13" t="n">
        <v>18</v>
      </c>
      <c r="B26" s="4" t="s">
        <v>476</v>
      </c>
      <c r="C26" s="5" t="s">
        <v>477</v>
      </c>
      <c r="D26" s="23" t="s">
        <v>478</v>
      </c>
      <c r="E26" s="13" t="str">
        <f aca="false">MID($B$6,FIND("-",$B$6)+1,FIND("-",$B$6,FIND("-",$B$6)+1)-FIND("-",$B$6)-1)</f>
        <v>South</v>
      </c>
      <c r="F26" s="24" t="s">
        <v>479</v>
      </c>
    </row>
  </sheetData>
  <mergeCells count="2">
    <mergeCell ref="A1:F1"/>
    <mergeCell ref="A2:F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8" topLeftCell="A9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20"/>
    <col collapsed="false" customWidth="true" hidden="false" outlineLevel="0" max="3" min="3" style="0" width="40"/>
    <col collapsed="false" customWidth="true" hidden="false" outlineLevel="0" max="4" min="4" style="0" width="66"/>
    <col collapsed="false" customWidth="true" hidden="false" outlineLevel="0" max="5" min="5" style="0" width="20"/>
    <col collapsed="false" customWidth="true" hidden="false" outlineLevel="0" max="6" min="6" style="0" width="34"/>
  </cols>
  <sheetData>
    <row r="1" customFormat="false" ht="21.75" hidden="false" customHeight="true" outlineLevel="0" collapsed="false">
      <c r="A1" s="1" t="s">
        <v>480</v>
      </c>
      <c r="B1" s="1"/>
      <c r="C1" s="1"/>
      <c r="D1" s="1"/>
      <c r="E1" s="1"/>
      <c r="F1" s="1"/>
    </row>
    <row r="2" customFormat="false" ht="15" hidden="false" customHeight="false" outlineLevel="0" collapsed="false">
      <c r="A2" s="2" t="s">
        <v>481</v>
      </c>
      <c r="B2" s="2"/>
      <c r="C2" s="2"/>
      <c r="D2" s="2"/>
      <c r="E2" s="2"/>
      <c r="F2" s="2"/>
    </row>
    <row r="3" customFormat="false" ht="15" hidden="false" customHeight="false" outlineLevel="0" collapsed="false">
      <c r="A3" s="6" t="s">
        <v>227</v>
      </c>
    </row>
    <row r="4" customFormat="false" ht="15" hidden="false" customHeight="false" outlineLevel="0" collapsed="false">
      <c r="A4" s="21" t="s">
        <v>363</v>
      </c>
      <c r="B4" s="22" t="n">
        <v>12</v>
      </c>
    </row>
    <row r="5" customFormat="false" ht="15" hidden="false" customHeight="false" outlineLevel="0" collapsed="false">
      <c r="A5" s="21" t="s">
        <v>482</v>
      </c>
      <c r="B5" s="29" t="n">
        <v>45748</v>
      </c>
    </row>
    <row r="6" customFormat="false" ht="15" hidden="false" customHeight="false" outlineLevel="0" collapsed="false">
      <c r="A6" s="21" t="s">
        <v>483</v>
      </c>
      <c r="B6" s="29" t="n">
        <v>46112</v>
      </c>
    </row>
    <row r="8" customFormat="false" ht="15" hidden="false" customHeight="false" outlineLevel="0" collapsed="false">
      <c r="A8" s="11" t="s">
        <v>232</v>
      </c>
      <c r="B8" s="11" t="s">
        <v>233</v>
      </c>
      <c r="C8" s="11" t="s">
        <v>234</v>
      </c>
      <c r="D8" s="11" t="s">
        <v>235</v>
      </c>
      <c r="E8" s="11" t="s">
        <v>236</v>
      </c>
      <c r="F8" s="11" t="s">
        <v>237</v>
      </c>
    </row>
    <row r="9" customFormat="false" ht="30" hidden="false" customHeight="true" outlineLevel="0" collapsed="false">
      <c r="A9" s="13" t="n">
        <v>1</v>
      </c>
      <c r="B9" s="4" t="s">
        <v>484</v>
      </c>
      <c r="C9" s="5" t="s">
        <v>485</v>
      </c>
      <c r="D9" s="23" t="s">
        <v>486</v>
      </c>
      <c r="E9" s="14" t="n">
        <f aca="true">TODAY()</f>
        <v>46282</v>
      </c>
      <c r="F9" s="24" t="s">
        <v>487</v>
      </c>
    </row>
    <row r="10" customFormat="false" ht="30" hidden="false" customHeight="true" outlineLevel="0" collapsed="false">
      <c r="A10" s="13" t="n">
        <v>2</v>
      </c>
      <c r="B10" s="4" t="s">
        <v>488</v>
      </c>
      <c r="C10" s="5" t="s">
        <v>489</v>
      </c>
      <c r="D10" s="23" t="s">
        <v>490</v>
      </c>
      <c r="E10" s="30" t="n">
        <f aca="true">NOW()</f>
        <v>46282.507145158</v>
      </c>
      <c r="F10" s="24" t="s">
        <v>491</v>
      </c>
    </row>
    <row r="11" customFormat="false" ht="30" hidden="false" customHeight="true" outlineLevel="0" collapsed="false">
      <c r="A11" s="13" t="n">
        <v>3</v>
      </c>
      <c r="B11" s="4" t="s">
        <v>492</v>
      </c>
      <c r="C11" s="5" t="s">
        <v>493</v>
      </c>
      <c r="D11" s="23" t="s">
        <v>494</v>
      </c>
      <c r="E11" s="14" t="n">
        <f aca="false">DATE(2026,4,1)</f>
        <v>46113</v>
      </c>
      <c r="F11" s="24" t="s">
        <v>495</v>
      </c>
    </row>
    <row r="12" customFormat="false" ht="30" hidden="false" customHeight="true" outlineLevel="0" collapsed="false">
      <c r="A12" s="13" t="n">
        <v>4</v>
      </c>
      <c r="B12" s="4" t="s">
        <v>496</v>
      </c>
      <c r="C12" s="5" t="s">
        <v>497</v>
      </c>
      <c r="D12" s="23" t="s">
        <v>498</v>
      </c>
      <c r="E12" s="14" t="n">
        <f aca="false">DATE(2025,13,1)</f>
        <v>46023</v>
      </c>
      <c r="F12" s="24"/>
    </row>
    <row r="13" customFormat="false" ht="30" hidden="false" customHeight="true" outlineLevel="0" collapsed="false">
      <c r="A13" s="13" t="n">
        <v>5</v>
      </c>
      <c r="B13" s="4" t="s">
        <v>499</v>
      </c>
      <c r="C13" s="5" t="s">
        <v>500</v>
      </c>
      <c r="D13" s="23" t="s">
        <v>501</v>
      </c>
      <c r="E13" s="20" t="n">
        <f aca="true">DATEDIF(INDEX(Data!$C$2:$C$121,$B$4-1),TODAY(),"d")</f>
        <v>114</v>
      </c>
      <c r="F13" s="24" t="s">
        <v>502</v>
      </c>
    </row>
    <row r="14" customFormat="false" ht="30" hidden="false" customHeight="true" outlineLevel="0" collapsed="false">
      <c r="A14" s="13" t="n">
        <v>6</v>
      </c>
      <c r="B14" s="4" t="s">
        <v>503</v>
      </c>
      <c r="C14" s="5" t="s">
        <v>504</v>
      </c>
      <c r="D14" s="23" t="s">
        <v>505</v>
      </c>
      <c r="E14" s="20" t="n">
        <f aca="true">DATEDIF(INDEX(Data!$C$2:$C$121,$B$4-1),TODAY(),"m")</f>
        <v>3</v>
      </c>
      <c r="F14" s="24"/>
    </row>
    <row r="15" customFormat="false" ht="30" hidden="false" customHeight="true" outlineLevel="0" collapsed="false">
      <c r="A15" s="13" t="n">
        <v>7</v>
      </c>
      <c r="B15" s="4" t="s">
        <v>506</v>
      </c>
      <c r="C15" s="5" t="s">
        <v>507</v>
      </c>
      <c r="D15" s="23" t="s">
        <v>508</v>
      </c>
      <c r="E15" s="13" t="str">
        <f aca="false">DATEDIF($B$5,$B$6,"y")&amp;" yr "&amp;DATEDIF($B$5,$B$6,"ym")&amp;" mth "&amp;DATEDIF($B$5,$B$6,"md")&amp;" days"</f>
        <v>0 yr 11 mth 30 days</v>
      </c>
      <c r="F15" s="24" t="s">
        <v>509</v>
      </c>
    </row>
    <row r="16" customFormat="false" ht="30" hidden="false" customHeight="true" outlineLevel="0" collapsed="false">
      <c r="A16" s="13" t="n">
        <v>8</v>
      </c>
      <c r="B16" s="4" t="s">
        <v>510</v>
      </c>
      <c r="C16" s="5" t="s">
        <v>511</v>
      </c>
      <c r="D16" s="23" t="s">
        <v>512</v>
      </c>
      <c r="E16" s="20" t="n">
        <f aca="false">$B$6-$B$5</f>
        <v>364</v>
      </c>
      <c r="F16" s="24" t="s">
        <v>513</v>
      </c>
    </row>
    <row r="17" customFormat="false" ht="30" hidden="false" customHeight="true" outlineLevel="0" collapsed="false">
      <c r="A17" s="13" t="n">
        <v>9</v>
      </c>
      <c r="B17" s="4" t="s">
        <v>514</v>
      </c>
      <c r="C17" s="5" t="s">
        <v>515</v>
      </c>
      <c r="D17" s="23" t="s">
        <v>516</v>
      </c>
      <c r="E17" s="14" t="n">
        <f aca="false">EOMONTH(INDEX(Data!$C$2:$C$121,$B$4-1),0)</f>
        <v>46173</v>
      </c>
      <c r="F17" s="24" t="s">
        <v>517</v>
      </c>
    </row>
    <row r="18" customFormat="false" ht="30" hidden="false" customHeight="true" outlineLevel="0" collapsed="false">
      <c r="A18" s="13" t="n">
        <v>10</v>
      </c>
      <c r="B18" s="4" t="s">
        <v>518</v>
      </c>
      <c r="C18" s="5" t="s">
        <v>519</v>
      </c>
      <c r="D18" s="23" t="s">
        <v>520</v>
      </c>
      <c r="E18" s="14" t="n">
        <f aca="false">EOMONTH(INDEX(Data!$C$2:$C$121,$B$4-1),1)</f>
        <v>46203</v>
      </c>
      <c r="F18" s="24"/>
    </row>
    <row r="19" customFormat="false" ht="30" hidden="false" customHeight="true" outlineLevel="0" collapsed="false">
      <c r="A19" s="13" t="n">
        <v>11</v>
      </c>
      <c r="B19" s="4" t="s">
        <v>521</v>
      </c>
      <c r="C19" s="5" t="s">
        <v>522</v>
      </c>
      <c r="D19" s="23" t="s">
        <v>523</v>
      </c>
      <c r="E19" s="14" t="n">
        <f aca="false">EOMONTH(INDEX(Data!$C$2:$C$121,$B$4-1),-1)+1</f>
        <v>46143</v>
      </c>
      <c r="F19" s="24" t="s">
        <v>524</v>
      </c>
    </row>
    <row r="20" customFormat="false" ht="30" hidden="false" customHeight="true" outlineLevel="0" collapsed="false">
      <c r="A20" s="13" t="n">
        <v>12</v>
      </c>
      <c r="B20" s="4" t="s">
        <v>525</v>
      </c>
      <c r="C20" s="5" t="s">
        <v>526</v>
      </c>
      <c r="D20" s="23" t="s">
        <v>527</v>
      </c>
      <c r="E20" s="20" t="n">
        <f aca="false">NETWORKDAYS($B$5,$B$6)</f>
        <v>261</v>
      </c>
      <c r="F20" s="24" t="s">
        <v>528</v>
      </c>
    </row>
    <row r="21" customFormat="false" ht="30" hidden="false" customHeight="true" outlineLevel="0" collapsed="false">
      <c r="A21" s="13" t="n">
        <v>13</v>
      </c>
      <c r="B21" s="4" t="s">
        <v>529</v>
      </c>
      <c r="C21" s="5" t="s">
        <v>530</v>
      </c>
      <c r="D21" s="23" t="s">
        <v>531</v>
      </c>
      <c r="E21" s="20" t="n">
        <f aca="true">NETWORKDAYS(INDEX(Data!$C$2:$C$121,$B$4-1),TODAY())</f>
        <v>83</v>
      </c>
      <c r="F21" s="24" t="s">
        <v>532</v>
      </c>
    </row>
    <row r="22" customFormat="false" ht="30" hidden="false" customHeight="true" outlineLevel="0" collapsed="false">
      <c r="A22" s="13" t="n">
        <v>14</v>
      </c>
      <c r="B22" s="4" t="s">
        <v>533</v>
      </c>
      <c r="C22" s="5" t="s">
        <v>534</v>
      </c>
      <c r="D22" s="23" t="s">
        <v>535</v>
      </c>
      <c r="E22" s="31" t="n">
        <f aca="false">WEEKDAY(INDEX(Data!$C$2:$C$121,$B$4-1),2)</f>
        <v>2</v>
      </c>
      <c r="F22" s="24" t="s">
        <v>536</v>
      </c>
    </row>
    <row r="23" customFormat="false" ht="30" hidden="false" customHeight="true" outlineLevel="0" collapsed="false">
      <c r="A23" s="13" t="n">
        <v>15</v>
      </c>
      <c r="B23" s="4" t="s">
        <v>537</v>
      </c>
      <c r="C23" s="5" t="s">
        <v>538</v>
      </c>
      <c r="D23" s="23" t="s">
        <v>539</v>
      </c>
      <c r="E23" s="13" t="str">
        <f aca="false">IF(WEEKDAY(INDEX(Data!$C$2:$C$121,$B$4-1),2)&gt;5,"Weekend","Weekday")</f>
        <v>Weekday</v>
      </c>
      <c r="F23" s="24"/>
    </row>
    <row r="24" customFormat="false" ht="30" hidden="false" customHeight="true" outlineLevel="0" collapsed="false">
      <c r="A24" s="13" t="n">
        <v>16</v>
      </c>
      <c r="B24" s="4" t="s">
        <v>540</v>
      </c>
      <c r="C24" s="5" t="s">
        <v>541</v>
      </c>
      <c r="D24" s="23" t="s">
        <v>542</v>
      </c>
      <c r="E24" s="13" t="str">
        <f aca="false">TEXT(INDEX(Data!$C$2:$C$121,$B$4-1),"DD-MMM-YYYY")</f>
        <v>26-May-2026</v>
      </c>
      <c r="F24" s="24" t="s">
        <v>543</v>
      </c>
    </row>
    <row r="25" customFormat="false" ht="30" hidden="false" customHeight="true" outlineLevel="0" collapsed="false">
      <c r="A25" s="13" t="n">
        <v>17</v>
      </c>
      <c r="B25" s="4" t="s">
        <v>544</v>
      </c>
      <c r="C25" s="5" t="s">
        <v>545</v>
      </c>
      <c r="D25" s="23" t="s">
        <v>546</v>
      </c>
      <c r="E25" s="13" t="str">
        <f aca="false">TEXT(INDEX(Data!$C$2:$C$121,$B$4-1),"MMM")&amp;"-"&amp;YEAR(INDEX(Data!$C$2:$C$121,$B$4-1))</f>
        <v>May-2026</v>
      </c>
      <c r="F25" s="24"/>
    </row>
    <row r="26" customFormat="false" ht="30" hidden="false" customHeight="true" outlineLevel="0" collapsed="false">
      <c r="A26" s="13" t="n">
        <v>18</v>
      </c>
      <c r="B26" s="4" t="s">
        <v>547</v>
      </c>
      <c r="C26" s="5" t="s">
        <v>548</v>
      </c>
      <c r="D26" s="23" t="s">
        <v>549</v>
      </c>
      <c r="E26" s="25" t="n">
        <f aca="false">SUMIFS(Data!$H$2:$H$121,Data!$C$2:$C$121,"&gt;="&amp;DATE(2025,4,1),Data!$C$2:$C$121,"&lt;="&amp;DATE(2026,3,31))</f>
        <v>1936198.29</v>
      </c>
      <c r="F26" s="24" t="s">
        <v>550</v>
      </c>
    </row>
  </sheetData>
  <mergeCells count="2">
    <mergeCell ref="A1:F1"/>
    <mergeCell ref="A2:F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7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30"/>
    <col collapsed="false" customWidth="true" hidden="false" outlineLevel="0" max="3" min="3" style="0" width="74"/>
    <col collapsed="false" customWidth="true" hidden="false" outlineLevel="0" max="4" min="4" style="0" width="4"/>
  </cols>
  <sheetData>
    <row r="1" customFormat="false" ht="21.75" hidden="false" customHeight="true" outlineLevel="0" collapsed="false">
      <c r="A1" s="1" t="s">
        <v>551</v>
      </c>
      <c r="B1" s="1"/>
      <c r="C1" s="1"/>
      <c r="D1" s="1"/>
    </row>
    <row r="2" customFormat="false" ht="15" hidden="false" customHeight="false" outlineLevel="0" collapsed="false">
      <c r="A2" s="2" t="s">
        <v>552</v>
      </c>
      <c r="B2" s="2"/>
      <c r="C2" s="2"/>
      <c r="D2" s="2"/>
    </row>
    <row r="4" customFormat="false" ht="15" hidden="false" customHeight="false" outlineLevel="0" collapsed="false">
      <c r="A4" s="32" t="s">
        <v>553</v>
      </c>
      <c r="B4" s="32"/>
      <c r="C4" s="32"/>
    </row>
    <row r="5" customFormat="false" ht="27.75" hidden="false" customHeight="true" outlineLevel="0" collapsed="false">
      <c r="A5" s="33" t="s">
        <v>554</v>
      </c>
      <c r="B5" s="33"/>
      <c r="C5" s="33"/>
    </row>
    <row r="6" customFormat="false" ht="15" hidden="false" customHeight="false" outlineLevel="0" collapsed="false">
      <c r="A6" s="21" t="s">
        <v>555</v>
      </c>
      <c r="B6" s="22" t="s">
        <v>50</v>
      </c>
      <c r="C6" s="34" t="s">
        <v>556</v>
      </c>
    </row>
    <row r="7" customFormat="false" ht="15" hidden="false" customHeight="false" outlineLevel="0" collapsed="false">
      <c r="A7" s="21" t="s">
        <v>557</v>
      </c>
      <c r="B7" s="22" t="s">
        <v>66</v>
      </c>
      <c r="C7" s="34" t="s">
        <v>558</v>
      </c>
    </row>
    <row r="8" customFormat="false" ht="15" hidden="false" customHeight="false" outlineLevel="0" collapsed="false">
      <c r="A8" s="21" t="s">
        <v>559</v>
      </c>
      <c r="B8" s="22" t="n">
        <v>5</v>
      </c>
      <c r="C8" s="35" t="s">
        <v>560</v>
      </c>
    </row>
    <row r="10" customFormat="false" ht="25.5" hidden="false" customHeight="true" outlineLevel="0" collapsed="false">
      <c r="A10" s="36" t="s">
        <v>561</v>
      </c>
      <c r="B10" s="37" t="s">
        <v>562</v>
      </c>
      <c r="C10" s="37"/>
    </row>
    <row r="11" customFormat="false" ht="25.5" hidden="false" customHeight="true" outlineLevel="0" collapsed="false">
      <c r="A11" s="36" t="s">
        <v>563</v>
      </c>
      <c r="B11" s="37" t="s">
        <v>564</v>
      </c>
      <c r="C11" s="37"/>
    </row>
    <row r="12" customFormat="false" ht="25.5" hidden="false" customHeight="true" outlineLevel="0" collapsed="false">
      <c r="A12" s="36" t="s">
        <v>565</v>
      </c>
      <c r="B12" s="37" t="s">
        <v>566</v>
      </c>
      <c r="C12" s="37"/>
    </row>
    <row r="13" customFormat="false" ht="25.5" hidden="false" customHeight="true" outlineLevel="0" collapsed="false">
      <c r="A13" s="36" t="s">
        <v>567</v>
      </c>
      <c r="B13" s="37" t="s">
        <v>568</v>
      </c>
      <c r="C13" s="37"/>
    </row>
    <row r="14" customFormat="false" ht="25.5" hidden="false" customHeight="true" outlineLevel="0" collapsed="false">
      <c r="A14" s="36" t="s">
        <v>569</v>
      </c>
      <c r="B14" s="37" t="s">
        <v>570</v>
      </c>
      <c r="C14" s="37"/>
    </row>
    <row r="16" customFormat="false" ht="15" hidden="false" customHeight="false" outlineLevel="0" collapsed="false">
      <c r="A16" s="32" t="s">
        <v>571</v>
      </c>
      <c r="B16" s="32"/>
      <c r="C16" s="32"/>
    </row>
    <row r="17" customFormat="false" ht="27.75" hidden="false" customHeight="true" outlineLevel="0" collapsed="false">
      <c r="A17" s="33" t="s">
        <v>572</v>
      </c>
      <c r="B17" s="33"/>
      <c r="C17" s="33"/>
    </row>
    <row r="18" customFormat="false" ht="15" hidden="false" customHeight="true" outlineLevel="0" collapsed="false">
      <c r="A18" s="21" t="s">
        <v>573</v>
      </c>
      <c r="B18" s="37" t="s">
        <v>574</v>
      </c>
      <c r="C18" s="37"/>
    </row>
    <row r="19" customFormat="false" ht="15" hidden="false" customHeight="true" outlineLevel="0" collapsed="false">
      <c r="A19" s="21" t="s">
        <v>575</v>
      </c>
      <c r="B19" s="37" t="s">
        <v>576</v>
      </c>
      <c r="C19" s="37"/>
    </row>
    <row r="20" customFormat="false" ht="15" hidden="false" customHeight="true" outlineLevel="0" collapsed="false">
      <c r="A20" s="21" t="s">
        <v>577</v>
      </c>
      <c r="B20" s="37" t="s">
        <v>578</v>
      </c>
      <c r="C20" s="37"/>
    </row>
    <row r="22" customFormat="false" ht="25.5" hidden="false" customHeight="true" outlineLevel="0" collapsed="false">
      <c r="A22" s="36" t="s">
        <v>561</v>
      </c>
      <c r="B22" s="37" t="s">
        <v>579</v>
      </c>
      <c r="C22" s="37"/>
    </row>
    <row r="23" customFormat="false" ht="25.5" hidden="false" customHeight="true" outlineLevel="0" collapsed="false">
      <c r="A23" s="36" t="s">
        <v>563</v>
      </c>
      <c r="B23" s="37" t="s">
        <v>580</v>
      </c>
      <c r="C23" s="37"/>
    </row>
    <row r="24" customFormat="false" ht="25.5" hidden="false" customHeight="true" outlineLevel="0" collapsed="false">
      <c r="A24" s="36" t="s">
        <v>565</v>
      </c>
      <c r="B24" s="37" t="s">
        <v>581</v>
      </c>
      <c r="C24" s="37"/>
    </row>
    <row r="25" customFormat="false" ht="25.5" hidden="false" customHeight="true" outlineLevel="0" collapsed="false">
      <c r="A25" s="36" t="s">
        <v>567</v>
      </c>
      <c r="B25" s="37" t="s">
        <v>582</v>
      </c>
      <c r="C25" s="37"/>
    </row>
    <row r="26" customFormat="false" ht="25.5" hidden="false" customHeight="true" outlineLevel="0" collapsed="false">
      <c r="A26" s="36" t="s">
        <v>569</v>
      </c>
      <c r="B26" s="37" t="s">
        <v>583</v>
      </c>
      <c r="C26" s="37"/>
    </row>
    <row r="28" customFormat="false" ht="15" hidden="false" customHeight="false" outlineLevel="0" collapsed="false">
      <c r="A28" s="32" t="s">
        <v>584</v>
      </c>
      <c r="B28" s="32"/>
      <c r="C28" s="32"/>
    </row>
    <row r="29" customFormat="false" ht="27.75" hidden="false" customHeight="true" outlineLevel="0" collapsed="false">
      <c r="A29" s="33" t="s">
        <v>585</v>
      </c>
      <c r="B29" s="33"/>
      <c r="C29" s="33"/>
    </row>
    <row r="30" customFormat="false" ht="15" hidden="false" customHeight="true" outlineLevel="0" collapsed="false">
      <c r="A30" s="21" t="s">
        <v>586</v>
      </c>
      <c r="B30" s="37" t="s">
        <v>587</v>
      </c>
      <c r="C30" s="37"/>
    </row>
    <row r="31" customFormat="false" ht="15" hidden="false" customHeight="true" outlineLevel="0" collapsed="false">
      <c r="A31" s="21" t="s">
        <v>588</v>
      </c>
      <c r="B31" s="37" t="s">
        <v>45</v>
      </c>
      <c r="C31" s="37"/>
    </row>
    <row r="32" customFormat="false" ht="15" hidden="false" customHeight="true" outlineLevel="0" collapsed="false">
      <c r="A32" s="21" t="s">
        <v>589</v>
      </c>
      <c r="B32" s="37" t="s">
        <v>590</v>
      </c>
      <c r="C32" s="37"/>
    </row>
    <row r="33" customFormat="false" ht="15" hidden="false" customHeight="true" outlineLevel="0" collapsed="false">
      <c r="A33" s="21" t="s">
        <v>591</v>
      </c>
      <c r="B33" s="37" t="s">
        <v>592</v>
      </c>
      <c r="C33" s="37"/>
    </row>
    <row r="34" customFormat="false" ht="15" hidden="false" customHeight="true" outlineLevel="0" collapsed="false">
      <c r="A34" s="21" t="s">
        <v>593</v>
      </c>
      <c r="B34" s="37" t="s">
        <v>594</v>
      </c>
      <c r="C34" s="37"/>
    </row>
    <row r="36" customFormat="false" ht="25.5" hidden="false" customHeight="true" outlineLevel="0" collapsed="false">
      <c r="A36" s="36" t="s">
        <v>561</v>
      </c>
      <c r="B36" s="37" t="s">
        <v>595</v>
      </c>
      <c r="C36" s="37"/>
    </row>
    <row r="37" customFormat="false" ht="25.5" hidden="false" customHeight="true" outlineLevel="0" collapsed="false">
      <c r="A37" s="36" t="s">
        <v>563</v>
      </c>
      <c r="B37" s="37" t="s">
        <v>596</v>
      </c>
      <c r="C37" s="37"/>
    </row>
    <row r="38" customFormat="false" ht="25.5" hidden="false" customHeight="true" outlineLevel="0" collapsed="false">
      <c r="A38" s="36" t="s">
        <v>565</v>
      </c>
      <c r="B38" s="37" t="s">
        <v>597</v>
      </c>
      <c r="C38" s="37"/>
    </row>
    <row r="39" customFormat="false" ht="25.5" hidden="false" customHeight="true" outlineLevel="0" collapsed="false">
      <c r="A39" s="36" t="s">
        <v>567</v>
      </c>
      <c r="B39" s="37" t="s">
        <v>598</v>
      </c>
      <c r="C39" s="37"/>
    </row>
    <row r="40" customFormat="false" ht="25.5" hidden="false" customHeight="true" outlineLevel="0" collapsed="false">
      <c r="A40" s="36" t="s">
        <v>569</v>
      </c>
      <c r="B40" s="37" t="s">
        <v>599</v>
      </c>
      <c r="C40" s="37"/>
    </row>
    <row r="41" customFormat="false" ht="25.5" hidden="false" customHeight="true" outlineLevel="0" collapsed="false">
      <c r="A41" s="36" t="s">
        <v>600</v>
      </c>
      <c r="B41" s="37" t="s">
        <v>601</v>
      </c>
      <c r="C41" s="37"/>
    </row>
    <row r="43" customFormat="false" ht="15" hidden="false" customHeight="false" outlineLevel="0" collapsed="false">
      <c r="A43" s="32" t="s">
        <v>602</v>
      </c>
      <c r="B43" s="32"/>
      <c r="C43" s="32"/>
    </row>
    <row r="44" customFormat="false" ht="27.75" hidden="false" customHeight="true" outlineLevel="0" collapsed="false">
      <c r="A44" s="33" t="s">
        <v>603</v>
      </c>
      <c r="B44" s="33"/>
      <c r="C44" s="33"/>
    </row>
    <row r="45" customFormat="false" ht="15" hidden="false" customHeight="false" outlineLevel="0" collapsed="false">
      <c r="A45" s="38" t="s">
        <v>604</v>
      </c>
      <c r="B45" s="39" t="s">
        <v>605</v>
      </c>
      <c r="C45" s="39"/>
    </row>
    <row r="46" customFormat="false" ht="15" hidden="false" customHeight="false" outlineLevel="0" collapsed="false">
      <c r="A46" s="40" t="s">
        <v>606</v>
      </c>
      <c r="B46" s="41" t="s">
        <v>607</v>
      </c>
      <c r="C46" s="41"/>
    </row>
    <row r="47" customFormat="false" ht="15" hidden="false" customHeight="false" outlineLevel="0" collapsed="false">
      <c r="A47" s="40" t="s">
        <v>608</v>
      </c>
      <c r="B47" s="41" t="s">
        <v>609</v>
      </c>
      <c r="C47" s="41"/>
    </row>
    <row r="48" customFormat="false" ht="15" hidden="false" customHeight="false" outlineLevel="0" collapsed="false">
      <c r="A48" s="40" t="s">
        <v>610</v>
      </c>
      <c r="B48" s="41" t="s">
        <v>609</v>
      </c>
      <c r="C48" s="41"/>
    </row>
    <row r="50" customFormat="false" ht="25.5" hidden="false" customHeight="true" outlineLevel="0" collapsed="false">
      <c r="A50" s="36" t="s">
        <v>561</v>
      </c>
      <c r="B50" s="37" t="s">
        <v>611</v>
      </c>
      <c r="C50" s="37"/>
    </row>
    <row r="51" customFormat="false" ht="25.5" hidden="false" customHeight="true" outlineLevel="0" collapsed="false">
      <c r="A51" s="36" t="s">
        <v>563</v>
      </c>
      <c r="B51" s="37" t="s">
        <v>612</v>
      </c>
      <c r="C51" s="37"/>
    </row>
    <row r="52" customFormat="false" ht="25.5" hidden="false" customHeight="true" outlineLevel="0" collapsed="false">
      <c r="A52" s="36" t="s">
        <v>565</v>
      </c>
      <c r="B52" s="37" t="s">
        <v>613</v>
      </c>
      <c r="C52" s="37"/>
    </row>
    <row r="53" customFormat="false" ht="25.5" hidden="false" customHeight="true" outlineLevel="0" collapsed="false">
      <c r="A53" s="36" t="s">
        <v>567</v>
      </c>
      <c r="B53" s="37" t="s">
        <v>614</v>
      </c>
      <c r="C53" s="37"/>
    </row>
    <row r="54" customFormat="false" ht="25.5" hidden="false" customHeight="true" outlineLevel="0" collapsed="false">
      <c r="A54" s="36" t="s">
        <v>569</v>
      </c>
      <c r="B54" s="37" t="s">
        <v>615</v>
      </c>
      <c r="C54" s="37"/>
    </row>
    <row r="56" customFormat="false" ht="15" hidden="false" customHeight="false" outlineLevel="0" collapsed="false">
      <c r="A56" s="32" t="s">
        <v>616</v>
      </c>
      <c r="B56" s="32"/>
      <c r="C56" s="32"/>
    </row>
    <row r="57" customFormat="false" ht="27.75" hidden="false" customHeight="true" outlineLevel="0" collapsed="false">
      <c r="A57" s="33" t="s">
        <v>617</v>
      </c>
      <c r="B57" s="33"/>
      <c r="C57" s="33"/>
    </row>
    <row r="58" customFormat="false" ht="15" hidden="false" customHeight="false" outlineLevel="0" collapsed="false">
      <c r="A58" s="38" t="s">
        <v>35</v>
      </c>
      <c r="B58" s="38" t="s">
        <v>37</v>
      </c>
      <c r="C58" s="38" t="s">
        <v>618</v>
      </c>
    </row>
    <row r="59" customFormat="false" ht="15" hidden="false" customHeight="false" outlineLevel="0" collapsed="false">
      <c r="A59" s="13" t="n">
        <v>100936</v>
      </c>
      <c r="B59" s="12" t="s">
        <v>50</v>
      </c>
      <c r="C59" s="12" t="str">
        <f aca="false">IF(COUNTIF($A$60:$A$67,A59)&gt;1,"Duplicate","Unique")</f>
        <v>Duplicate</v>
      </c>
    </row>
    <row r="60" customFormat="false" ht="15" hidden="false" customHeight="false" outlineLevel="0" collapsed="false">
      <c r="A60" s="13" t="n">
        <v>101012</v>
      </c>
      <c r="B60" s="12" t="s">
        <v>65</v>
      </c>
      <c r="C60" s="12" t="str">
        <f aca="false">IF(COUNTIF($A$60:$A$67,A60)&gt;1,"Duplicate","Unique")</f>
        <v>Duplicate</v>
      </c>
    </row>
    <row r="61" customFormat="false" ht="15" hidden="false" customHeight="false" outlineLevel="0" collapsed="false">
      <c r="A61" s="13" t="n">
        <v>100936</v>
      </c>
      <c r="B61" s="12" t="s">
        <v>50</v>
      </c>
      <c r="C61" s="12" t="str">
        <f aca="false">IF(COUNTIF($A$60:$A$67,A61)&gt;1,"Duplicate","Unique")</f>
        <v>Duplicate</v>
      </c>
    </row>
    <row r="62" customFormat="false" ht="15" hidden="false" customHeight="false" outlineLevel="0" collapsed="false">
      <c r="A62" s="13" t="n">
        <v>103302</v>
      </c>
      <c r="B62" s="12" t="s">
        <v>61</v>
      </c>
      <c r="C62" s="12" t="str">
        <f aca="false">IF(COUNTIF($A$60:$A$67,A62)&gt;1,"Duplicate","Unique")</f>
        <v>Unique</v>
      </c>
    </row>
    <row r="63" customFormat="false" ht="15" hidden="false" customHeight="false" outlineLevel="0" collapsed="false">
      <c r="A63" s="13" t="n">
        <v>101012</v>
      </c>
      <c r="B63" s="12" t="s">
        <v>65</v>
      </c>
      <c r="C63" s="12" t="str">
        <f aca="false">IF(COUNTIF($A$60:$A$67,A63)&gt;1,"Duplicate","Unique")</f>
        <v>Duplicate</v>
      </c>
    </row>
    <row r="64" customFormat="false" ht="15" hidden="false" customHeight="false" outlineLevel="0" collapsed="false">
      <c r="A64" s="13" t="n">
        <v>104783</v>
      </c>
      <c r="B64" s="12" t="s">
        <v>57</v>
      </c>
      <c r="C64" s="12" t="str">
        <f aca="false">IF(COUNTIF($A$60:$A$67,A64)&gt;1,"Duplicate","Unique")</f>
        <v>Unique</v>
      </c>
    </row>
    <row r="65" customFormat="false" ht="15" hidden="false" customHeight="false" outlineLevel="0" collapsed="false">
      <c r="A65" s="13" t="n">
        <v>100936</v>
      </c>
      <c r="B65" s="12" t="s">
        <v>50</v>
      </c>
      <c r="C65" s="12" t="str">
        <f aca="false">IF(COUNTIF($A$60:$A$67,A65)&gt;1,"Duplicate","Unique")</f>
        <v>Duplicate</v>
      </c>
    </row>
    <row r="66" customFormat="false" ht="15" hidden="false" customHeight="false" outlineLevel="0" collapsed="false">
      <c r="A66" s="13" t="n">
        <v>102093</v>
      </c>
      <c r="B66" s="12" t="s">
        <v>68</v>
      </c>
      <c r="C66" s="12" t="str">
        <f aca="false">IF(COUNTIF($A$60:$A$67,A66)&gt;1,"Duplicate","Unique")</f>
        <v>Unique</v>
      </c>
    </row>
    <row r="68" customFormat="false" ht="25.5" hidden="false" customHeight="true" outlineLevel="0" collapsed="false">
      <c r="A68" s="36" t="s">
        <v>561</v>
      </c>
      <c r="B68" s="37" t="s">
        <v>619</v>
      </c>
      <c r="C68" s="37"/>
    </row>
    <row r="69" customFormat="false" ht="25.5" hidden="false" customHeight="true" outlineLevel="0" collapsed="false">
      <c r="A69" s="36" t="s">
        <v>563</v>
      </c>
      <c r="B69" s="37" t="s">
        <v>620</v>
      </c>
      <c r="C69" s="37"/>
    </row>
    <row r="70" customFormat="false" ht="25.5" hidden="false" customHeight="true" outlineLevel="0" collapsed="false">
      <c r="A70" s="36" t="s">
        <v>565</v>
      </c>
      <c r="B70" s="37" t="s">
        <v>621</v>
      </c>
      <c r="C70" s="37"/>
    </row>
    <row r="71" customFormat="false" ht="25.5" hidden="false" customHeight="true" outlineLevel="0" collapsed="false">
      <c r="A71" s="36" t="s">
        <v>567</v>
      </c>
      <c r="B71" s="37" t="s">
        <v>622</v>
      </c>
      <c r="C71" s="37"/>
    </row>
    <row r="72" customFormat="false" ht="25.5" hidden="false" customHeight="true" outlineLevel="0" collapsed="false">
      <c r="A72" s="36" t="s">
        <v>569</v>
      </c>
      <c r="B72" s="37" t="s">
        <v>623</v>
      </c>
      <c r="C72" s="37"/>
    </row>
    <row r="73" customFormat="false" ht="25.5" hidden="false" customHeight="true" outlineLevel="0" collapsed="false">
      <c r="A73" s="36" t="s">
        <v>600</v>
      </c>
      <c r="B73" s="37" t="s">
        <v>624</v>
      </c>
      <c r="C73" s="37"/>
    </row>
  </sheetData>
  <mergeCells count="51">
    <mergeCell ref="A1:D1"/>
    <mergeCell ref="A2:D2"/>
    <mergeCell ref="A4:C4"/>
    <mergeCell ref="A5:C5"/>
    <mergeCell ref="B10:C10"/>
    <mergeCell ref="B11:C11"/>
    <mergeCell ref="B12:C12"/>
    <mergeCell ref="B13:C13"/>
    <mergeCell ref="B14:C14"/>
    <mergeCell ref="A16:C16"/>
    <mergeCell ref="A17:C17"/>
    <mergeCell ref="B18:C18"/>
    <mergeCell ref="B19:C19"/>
    <mergeCell ref="B20:C20"/>
    <mergeCell ref="B22:C22"/>
    <mergeCell ref="B23:C23"/>
    <mergeCell ref="B24:C24"/>
    <mergeCell ref="B25:C25"/>
    <mergeCell ref="B26:C26"/>
    <mergeCell ref="A28:C28"/>
    <mergeCell ref="A29:C29"/>
    <mergeCell ref="B30:C30"/>
    <mergeCell ref="B31:C31"/>
    <mergeCell ref="B32:C32"/>
    <mergeCell ref="B33:C33"/>
    <mergeCell ref="B34:C34"/>
    <mergeCell ref="B36:C36"/>
    <mergeCell ref="B37:C37"/>
    <mergeCell ref="B38:C38"/>
    <mergeCell ref="B39:C39"/>
    <mergeCell ref="B40:C40"/>
    <mergeCell ref="B41:C41"/>
    <mergeCell ref="A43:C43"/>
    <mergeCell ref="A44:C44"/>
    <mergeCell ref="B45:C45"/>
    <mergeCell ref="B46:C46"/>
    <mergeCell ref="B47:C47"/>
    <mergeCell ref="B48:C48"/>
    <mergeCell ref="B50:C50"/>
    <mergeCell ref="B51:C51"/>
    <mergeCell ref="B52:C52"/>
    <mergeCell ref="B53:C53"/>
    <mergeCell ref="B54:C54"/>
    <mergeCell ref="A56:C56"/>
    <mergeCell ref="A57:C57"/>
    <mergeCell ref="B68:C68"/>
    <mergeCell ref="B69:C69"/>
    <mergeCell ref="B70:C70"/>
    <mergeCell ref="B71:C71"/>
    <mergeCell ref="B72:C72"/>
    <mergeCell ref="B73:C73"/>
  </mergeCells>
  <dataValidations count="3">
    <dataValidation allowBlank="true" errorStyle="stop" operator="between" showDropDown="false" showErrorMessage="false" showInputMessage="false" sqref="B6" type="list">
      <formula1>Master!$A$10:$A$15</formula1>
      <formula2>0</formula2>
    </dataValidation>
    <dataValidation allowBlank="true" errorStyle="stop" operator="between" showDropDown="false" showErrorMessage="false" showInputMessage="false" sqref="B7" type="list">
      <formula1>Master!$A$2:$A$6</formula1>
      <formula2>0</formula2>
    </dataValidation>
    <dataValidation allowBlank="false" error="Enter a whole number between 1 and 100." errorStyle="stop" errorTitle="Out of range" operator="between" showDropDown="false" showErrorMessage="true" showInputMessage="false" sqref="B8" type="whole">
      <formula1>1</formula1>
      <formula2>100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2026-09-17T12:10:15Z</dcterms:created>
  <dc:creator>openpyxl</dc:creator>
  <dc:description/>
  <dc:language>en-US</dc:language>
  <cp:lastModifiedBy/>
  <dcterms:modified xsi:type="dcterms:W3CDTF">2026-09-17T12:10:16Z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